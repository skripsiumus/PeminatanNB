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6f204316d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Siswa" sheetId="1" r:id="R81f6493c95b94f42"/>
    <x:sheet xmlns:r="http://schemas.openxmlformats.org/officeDocument/2006/relationships" name="Probabilitas" sheetId="2" r:id="R5e12bef6b9a84f6d"/>
    <x:sheet xmlns:r="http://schemas.openxmlformats.org/officeDocument/2006/relationships" name="Prediksi_Input" sheetId="3" r:id="R6e38268ad9d4432c"/>
    <x:sheet xmlns:r="http://schemas.openxmlformats.org/officeDocument/2006/relationships" name="Dashboard" sheetId="4" r:id="Ra192333d724e4bf9"/>
    <x:sheet xmlns:r="http://schemas.openxmlformats.org/officeDocument/2006/relationships" name="Rumus_Manual" sheetId="5" r:id="Ra1f2c14cdb91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BBF7D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ac14be8104d9b" /><Relationship Type="http://schemas.openxmlformats.org/officeDocument/2006/relationships/theme" Target="/xl/theme/theme1.xml" Id="Rd1a052642bc8419b" /><Relationship Type="http://schemas.openxmlformats.org/officeDocument/2006/relationships/sharedStrings" Target="/xl/sharedStrings.xml" Id="Rf198e5b38e9244f8" /><Relationship Type="http://schemas.openxmlformats.org/officeDocument/2006/relationships/worksheet" Target="/xl/worksheets/sheet1.xml" Id="R81f6493c95b94f42" /><Relationship Type="http://schemas.openxmlformats.org/officeDocument/2006/relationships/worksheet" Target="/xl/worksheets/sheet2.xml" Id="R5e12bef6b9a84f6d" /><Relationship Type="http://schemas.openxmlformats.org/officeDocument/2006/relationships/worksheet" Target="/xl/worksheets/sheet3.xml" Id="R6e38268ad9d4432c" /><Relationship Type="http://schemas.openxmlformats.org/officeDocument/2006/relationships/worksheet" Target="/xl/worksheets/sheet4.xml" Id="Ra192333d724e4bf9" /><Relationship Type="http://schemas.openxmlformats.org/officeDocument/2006/relationships/worksheet" Target="/xl/worksheets/sheet5.xml" Id="Ra1f2c14cdb9144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a74d32e4b941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Jumlah Hasil Klasifikasi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Jumlah Prediksi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'Dashboard'!$B$17:$B$18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a74d32e4b941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iswaNB" displayName="DataSiswaNB" ref="A1:M557" headerRowCount="1">
  <x:tableColumns count="13">
    <x:tableColumn id="1" name="No"/>
    <x:tableColumn id="2" name="Kode Siswa"/>
    <x:tableColumn id="3" name="Nama Samaran"/>
    <x:tableColumn id="4" name="Jurusan"/>
    <x:tableColumn id="5" name="Rombel"/>
    <x:tableColumn id="6" name="Jenis Kelamin"/>
    <x:tableColumn id="7" name="Label Aktual/Latih (editable)"/>
    <x:tableColumn id="8" name="Skor NB Minat"/>
    <x:tableColumn id="9" name="Skor NB Tidak minat"/>
    <x:tableColumn id="10" name="Prob. Minat"/>
    <x:tableColumn id="11" name="Prob. Tidak minat"/>
    <x:tableColumn id="12" name="Keputusan NB"/>
    <x:tableColumn id="13" name="Keterangan"/>
  </x:tableColumns>
  <x:tableStyleInfo name="TableStyleMedium2" showRowStripes="1"/>
</x:table>
</file>

<file path=xl/tables/table2.xml><?xml version="1.0" encoding="utf-8"?>
<x:table xmlns:x="http://schemas.openxmlformats.org/spreadsheetml/2006/main" id="2" name="PriorKelas" displayName="PriorKelas" ref="A3:C5" headerRowCount="1">
  <x:tableColumns count="3">
    <x:tableColumn id="1" name="Kelas"/>
    <x:tableColumn id="2" name="Jumlah"/>
    <x:tableColumn id="3" name="Prior P(C)"/>
  </x:tableColumns>
  <x:tableStyleInfo name="TableStyleMedium2" showRowStripes="1"/>
</x:table>
</file>

<file path=xl/tables/table3.xml><?xml version="1.0" encoding="utf-8"?>
<x:table xmlns:x="http://schemas.openxmlformats.org/spreadsheetml/2006/main" id="3" name="ProbJurusan" displayName="ProbJurusan" ref="A9:E11" headerRowCount="1">
  <x:tableColumns count="5">
    <x:tableColumn id="1" name="Kategori"/>
    <x:tableColumn id="2" name="Count Minat"/>
    <x:tableColumn id="3" name="P(X|Minat)"/>
    <x:tableColumn id="4" name="Count Tidak minat"/>
    <x:tableColumn id="5" name="P(X|Tidak minat)"/>
  </x:tableColumns>
  <x:tableStyleInfo name="TableStyleMedium2" showRowStripes="1"/>
</x:table>
</file>

<file path=xl/tables/table4.xml><?xml version="1.0" encoding="utf-8"?>
<x:table xmlns:x="http://schemas.openxmlformats.org/spreadsheetml/2006/main" id="4" name="ProbRombel" displayName="ProbRombel" ref="A15:E22" headerRowCount="1">
  <x:tableColumns count="5">
    <x:tableColumn id="1" name="Kategori"/>
    <x:tableColumn id="2" name="Count Minat"/>
    <x:tableColumn id="3" name="P(X|Minat)"/>
    <x:tableColumn id="4" name="Count Tidak minat"/>
    <x:tableColumn id="5" name="P(X|Tidak minat)"/>
  </x:tableColumns>
  <x:tableStyleInfo name="TableStyleMedium2" showRowStripes="1"/>
</x:table>
</file>

<file path=xl/tables/table5.xml><?xml version="1.0" encoding="utf-8"?>
<x:table xmlns:x="http://schemas.openxmlformats.org/spreadsheetml/2006/main" id="5" name="ProbJK" displayName="ProbJK" ref="A26:E28" headerRowCount="1">
  <x:tableColumns count="5">
    <x:tableColumn id="1" name="Kategori"/>
    <x:tableColumn id="2" name="Count Minat"/>
    <x:tableColumn id="3" name="P(X|Minat)"/>
    <x:tableColumn id="4" name="Count Tidak minat"/>
    <x:tableColumn id="5" name="P(X|Tidak minat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ab6a3e37ad45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bbff6199f44cc1" /><Relationship Type="http://schemas.openxmlformats.org/officeDocument/2006/relationships/table" Target="/xl/tables/table3.xml" Id="Rd9a5787d28c24b91" /><Relationship Type="http://schemas.openxmlformats.org/officeDocument/2006/relationships/table" Target="/xl/tables/table4.xml" Id="R85582e817f8842f6" /><Relationship Type="http://schemas.openxmlformats.org/officeDocument/2006/relationships/table" Target="/xl/tables/table5.xml" Id="Rd8f78581e39f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a193dca13cb4e8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28" hidden="0" customWidth="1"/>
    <x:col min="5" max="5" width="12" hidden="0" customWidth="1"/>
    <x:col min="6" max="6" width="16" hidden="0" customWidth="1"/>
    <x:col min="7" max="7" width="22" hidden="0" customWidth="1"/>
    <x:col min="8" max="8" width="16" hidden="0" customWidth="1"/>
    <x:col min="9" max="9" width="18" hidden="0" customWidth="1"/>
    <x:col min="10" max="10" width="14" hidden="0" customWidth="1"/>
    <x:col min="11" max="11" width="17" hidden="0" customWidth="1"/>
    <x:col min="12" max="12" width="15" hidden="0" customWidth="1"/>
    <x:col min="13" max="13" width="22" hidden="0" customWidth="1"/>
  </x:cols>
  <x:sheetData>
    <x:row r="1">
      <x:c r="A1" s="6" t="str">
        <x:v>No</x:v>
      </x:c>
      <x:c r="B1" s="6" t="str">
        <x:v>Kode Siswa</x:v>
      </x:c>
      <x:c r="C1" s="6" t="str">
        <x:v>Nama Samaran</x:v>
      </x:c>
      <x:c r="D1" s="6" t="str">
        <x:v>Jurusan</x:v>
      </x:c>
      <x:c r="E1" s="6" t="str">
        <x:v>Rombel</x:v>
      </x:c>
      <x:c r="F1" s="6" t="str">
        <x:v>Jenis Kelamin</x:v>
      </x:c>
      <x:c r="G1" s="6" t="str">
        <x:v>Label Aktual/Latih (editable)</x:v>
      </x:c>
      <x:c r="H1" s="6" t="str">
        <x:v>Skor NB Minat</x:v>
      </x:c>
      <x:c r="I1" s="6" t="str">
        <x:v>Skor NB Tidak minat</x:v>
      </x:c>
      <x:c r="J1" s="6" t="str">
        <x:v>Prob. Minat</x:v>
      </x:c>
      <x:c r="K1" s="6" t="str">
        <x:v>Prob. Tidak minat</x:v>
      </x:c>
      <x:c r="L1" s="6" t="str">
        <x:v>Keputusan NB</x:v>
      </x:c>
      <x:c r="M1" s="6" t="str">
        <x:v>Keterangan</x:v>
      </x:c>
    </x:row>
    <x:row r="2">
      <x:c r="A2" s="24" t="n">
        <x:v>1</x:v>
      </x:c>
      <x:c r="B2" s="24" t="str">
        <x:v>MP1-L-001</x:v>
      </x:c>
      <x:c r="C2" s="24" t="str">
        <x:v>Siswa MP1 L-001</x:v>
      </x:c>
      <x:c r="D2" s="24" t="str">
        <x:v>MP / Manajemen Perkantoran</x:v>
      </x:c>
      <x:c r="E2" s="24" t="str">
        <x:v>MP 1</x:v>
      </x:c>
      <x:c r="F2" s="24" t="str">
        <x:v>Laki-laki</x:v>
      </x:c>
      <x:c r="G2" s="24" t="str">
        <x:v>Minat</x:v>
      </x:c>
      <x:c r="H2" s="26" t="n">
        <x:f>Probabilitas!$C$4*INDEX(Probabilitas!$C$10:$C$11,MATCH(D2,Probabilitas!$A$10:$A$11,0))*INDEX(Probabilitas!$C$16:$C$22,MATCH(E2,Probabilitas!$A$16:$A$22,0))*INDEX(Probabilitas!$C$27:$C$28,MATCH(F2,Probabilitas!$A$27:$A$28,0))</x:f>
        <x:v>0.05968519937173402</x:v>
      </x:c>
      <x:c r="I2" s="26" t="n">
        <x:f>Probabilitas!$C$5*INDEX(Probabilitas!$E$10:$E$11,MATCH(D2,Probabilitas!$A$10:$A$11,0))*INDEX(Probabilitas!$E$16:$E$22,MATCH(E2,Probabilitas!$A$16:$A$22,0))*INDEX(Probabilitas!$E$27:$E$28,MATCH(F2,Probabilitas!$A$27:$A$28,0))</x:f>
        <x:v>0.000004548037824451806</x:v>
      </x:c>
      <x:c r="J2" s="26" t="n">
        <x:f>IFERROR(H2/(H2+I2),0)</x:f>
        <x:v>0.9999238053766044</x:v>
      </x:c>
      <x:c r="K2" s="26" t="n">
        <x:f>IFERROR(I2/(H2+I2),0)</x:f>
        <x:v>0.00007619462339563364</x:v>
      </x:c>
      <x:c r="L2" s="24" t="str">
        <x:f>IF(J2&gt;=K2,"Minat","Tidak minat")</x:f>
        <x:v>Minat</x:v>
      </x:c>
      <x:c r="M2" s="24" t="str">
        <x:f>IF(L2=G2,"Sesuai label latih","Berbeda dari label latih")</x:f>
        <x:v>Sesuai label latih</x:v>
      </x:c>
    </x:row>
    <x:row r="3">
      <x:c r="A3" s="24" t="n">
        <x:v>2</x:v>
      </x:c>
      <x:c r="B3" s="24" t="str">
        <x:v>MP1-L-002</x:v>
      </x:c>
      <x:c r="C3" s="24" t="str">
        <x:v>Siswa MP1 L-002</x:v>
      </x:c>
      <x:c r="D3" s="24" t="str">
        <x:v>MP / Manajemen Perkantoran</x:v>
      </x:c>
      <x:c r="E3" s="24" t="str">
        <x:v>MP 1</x:v>
      </x:c>
      <x:c r="F3" s="24" t="str">
        <x:v>Laki-laki</x:v>
      </x:c>
      <x:c r="G3" s="24" t="str">
        <x:v>Minat</x:v>
      </x:c>
      <x:c r="H3" s="26" t="n">
        <x:f>Probabilitas!$C$4*INDEX(Probabilitas!$C$10:$C$11,MATCH(D3,Probabilitas!$A$10:$A$11,0))*INDEX(Probabilitas!$C$16:$C$22,MATCH(E3,Probabilitas!$A$16:$A$22,0))*INDEX(Probabilitas!$C$27:$C$28,MATCH(F3,Probabilitas!$A$27:$A$28,0))</x:f>
        <x:v>0.05968519937173402</x:v>
      </x:c>
      <x:c r="I3" s="26" t="n">
        <x:f>Probabilitas!$C$5*INDEX(Probabilitas!$E$10:$E$11,MATCH(D3,Probabilitas!$A$10:$A$11,0))*INDEX(Probabilitas!$E$16:$E$22,MATCH(E3,Probabilitas!$A$16:$A$22,0))*INDEX(Probabilitas!$E$27:$E$28,MATCH(F3,Probabilitas!$A$27:$A$28,0))</x:f>
        <x:v>0.000004548037824451806</x:v>
      </x:c>
      <x:c r="J3" s="26" t="n">
        <x:f>IFERROR(H3/(H3+I3),0)</x:f>
        <x:v>0.9999238053766044</x:v>
      </x:c>
      <x:c r="K3" s="26" t="n">
        <x:f>IFERROR(I3/(H3+I3),0)</x:f>
        <x:v>0.00007619462339563364</x:v>
      </x:c>
      <x:c r="L3" s="24" t="str">
        <x:f>IF(J3&gt;=K3,"Minat","Tidak minat")</x:f>
        <x:v>Minat</x:v>
      </x:c>
      <x:c r="M3" s="24" t="str">
        <x:f>IF(L3=G3,"Sesuai label latih","Berbeda dari label latih")</x:f>
        <x:v>Sesuai label latih</x:v>
      </x:c>
    </x:row>
    <x:row r="4">
      <x:c r="A4" s="24" t="n">
        <x:v>3</x:v>
      </x:c>
      <x:c r="B4" s="24" t="str">
        <x:v>MP1-L-003</x:v>
      </x:c>
      <x:c r="C4" s="24" t="str">
        <x:v>Siswa MP1 L-003</x:v>
      </x:c>
      <x:c r="D4" s="24" t="str">
        <x:v>MP / Manajemen Perkantoran</x:v>
      </x:c>
      <x:c r="E4" s="24" t="str">
        <x:v>MP 1</x:v>
      </x:c>
      <x:c r="F4" s="24" t="str">
        <x:v>Laki-laki</x:v>
      </x:c>
      <x:c r="G4" s="24" t="str">
        <x:v>Minat</x:v>
      </x:c>
      <x:c r="H4" s="26" t="n">
        <x:f>Probabilitas!$C$4*INDEX(Probabilitas!$C$10:$C$11,MATCH(D4,Probabilitas!$A$10:$A$11,0))*INDEX(Probabilitas!$C$16:$C$22,MATCH(E4,Probabilitas!$A$16:$A$22,0))*INDEX(Probabilitas!$C$27:$C$28,MATCH(F4,Probabilitas!$A$27:$A$28,0))</x:f>
        <x:v>0.05968519937173402</x:v>
      </x:c>
      <x:c r="I4" s="26" t="n">
        <x:f>Probabilitas!$C$5*INDEX(Probabilitas!$E$10:$E$11,MATCH(D4,Probabilitas!$A$10:$A$11,0))*INDEX(Probabilitas!$E$16:$E$22,MATCH(E4,Probabilitas!$A$16:$A$22,0))*INDEX(Probabilitas!$E$27:$E$28,MATCH(F4,Probabilitas!$A$27:$A$28,0))</x:f>
        <x:v>0.000004548037824451806</x:v>
      </x:c>
      <x:c r="J4" s="26" t="n">
        <x:f>IFERROR(H4/(H4+I4),0)</x:f>
        <x:v>0.9999238053766044</x:v>
      </x:c>
      <x:c r="K4" s="26" t="n">
        <x:f>IFERROR(I4/(H4+I4),0)</x:f>
        <x:v>0.00007619462339563364</x:v>
      </x:c>
      <x:c r="L4" s="24" t="str">
        <x:f>IF(J4&gt;=K4,"Minat","Tidak minat")</x:f>
        <x:v>Minat</x:v>
      </x:c>
      <x:c r="M4" s="24" t="str">
        <x:f>IF(L4=G4,"Sesuai label latih","Berbeda dari label latih")</x:f>
        <x:v>Sesuai label latih</x:v>
      </x:c>
    </x:row>
    <x:row r="5">
      <x:c r="A5" s="24" t="n">
        <x:v>4</x:v>
      </x:c>
      <x:c r="B5" s="24" t="str">
        <x:v>MP1-L-004</x:v>
      </x:c>
      <x:c r="C5" s="24" t="str">
        <x:v>Siswa MP1 L-004</x:v>
      </x:c>
      <x:c r="D5" s="24" t="str">
        <x:v>MP / Manajemen Perkantoran</x:v>
      </x:c>
      <x:c r="E5" s="24" t="str">
        <x:v>MP 1</x:v>
      </x:c>
      <x:c r="F5" s="24" t="str">
        <x:v>Laki-laki</x:v>
      </x:c>
      <x:c r="G5" s="24" t="str">
        <x:v>Minat</x:v>
      </x:c>
      <x:c r="H5" s="26" t="n">
        <x:f>Probabilitas!$C$4*INDEX(Probabilitas!$C$10:$C$11,MATCH(D5,Probabilitas!$A$10:$A$11,0))*INDEX(Probabilitas!$C$16:$C$22,MATCH(E5,Probabilitas!$A$16:$A$22,0))*INDEX(Probabilitas!$C$27:$C$28,MATCH(F5,Probabilitas!$A$27:$A$28,0))</x:f>
        <x:v>0.05968519937173402</x:v>
      </x:c>
      <x:c r="I5" s="26" t="n">
        <x:f>Probabilitas!$C$5*INDEX(Probabilitas!$E$10:$E$11,MATCH(D5,Probabilitas!$A$10:$A$11,0))*INDEX(Probabilitas!$E$16:$E$22,MATCH(E5,Probabilitas!$A$16:$A$22,0))*INDEX(Probabilitas!$E$27:$E$28,MATCH(F5,Probabilitas!$A$27:$A$28,0))</x:f>
        <x:v>0.000004548037824451806</x:v>
      </x:c>
      <x:c r="J5" s="26" t="n">
        <x:f>IFERROR(H5/(H5+I5),0)</x:f>
        <x:v>0.9999238053766044</x:v>
      </x:c>
      <x:c r="K5" s="26" t="n">
        <x:f>IFERROR(I5/(H5+I5),0)</x:f>
        <x:v>0.00007619462339563364</x:v>
      </x:c>
      <x:c r="L5" s="24" t="str">
        <x:f>IF(J5&gt;=K5,"Minat","Tidak minat")</x:f>
        <x:v>Minat</x:v>
      </x:c>
      <x:c r="M5" s="24" t="str">
        <x:f>IF(L5=G5,"Sesuai label latih","Berbeda dari label latih")</x:f>
        <x:v>Sesuai label latih</x:v>
      </x:c>
    </x:row>
    <x:row r="6">
      <x:c r="A6" s="24" t="n">
        <x:v>5</x:v>
      </x:c>
      <x:c r="B6" s="24" t="str">
        <x:v>MP1-L-005</x:v>
      </x:c>
      <x:c r="C6" s="24" t="str">
        <x:v>Siswa MP1 L-005</x:v>
      </x:c>
      <x:c r="D6" s="24" t="str">
        <x:v>MP / Manajemen Perkantoran</x:v>
      </x:c>
      <x:c r="E6" s="24" t="str">
        <x:v>MP 1</x:v>
      </x:c>
      <x:c r="F6" s="24" t="str">
        <x:v>Laki-laki</x:v>
      </x:c>
      <x:c r="G6" s="24" t="str">
        <x:v>Minat</x:v>
      </x:c>
      <x:c r="H6" s="26" t="n">
        <x:f>Probabilitas!$C$4*INDEX(Probabilitas!$C$10:$C$11,MATCH(D6,Probabilitas!$A$10:$A$11,0))*INDEX(Probabilitas!$C$16:$C$22,MATCH(E6,Probabilitas!$A$16:$A$22,0))*INDEX(Probabilitas!$C$27:$C$28,MATCH(F6,Probabilitas!$A$27:$A$28,0))</x:f>
        <x:v>0.05968519937173402</x:v>
      </x:c>
      <x:c r="I6" s="26" t="n">
        <x:f>Probabilitas!$C$5*INDEX(Probabilitas!$E$10:$E$11,MATCH(D6,Probabilitas!$A$10:$A$11,0))*INDEX(Probabilitas!$E$16:$E$22,MATCH(E6,Probabilitas!$A$16:$A$22,0))*INDEX(Probabilitas!$E$27:$E$28,MATCH(F6,Probabilitas!$A$27:$A$28,0))</x:f>
        <x:v>0.000004548037824451806</x:v>
      </x:c>
      <x:c r="J6" s="26" t="n">
        <x:f>IFERROR(H6/(H6+I6),0)</x:f>
        <x:v>0.9999238053766044</x:v>
      </x:c>
      <x:c r="K6" s="26" t="n">
        <x:f>IFERROR(I6/(H6+I6),0)</x:f>
        <x:v>0.00007619462339563364</x:v>
      </x:c>
      <x:c r="L6" s="24" t="str">
        <x:f>IF(J6&gt;=K6,"Minat","Tidak minat")</x:f>
        <x:v>Minat</x:v>
      </x:c>
      <x:c r="M6" s="24" t="str">
        <x:f>IF(L6=G6,"Sesuai label latih","Berbeda dari label latih")</x:f>
        <x:v>Sesuai label latih</x:v>
      </x:c>
    </x:row>
    <x:row r="7">
      <x:c r="A7" s="24" t="n">
        <x:v>6</x:v>
      </x:c>
      <x:c r="B7" s="24" t="str">
        <x:v>MP1-L-006</x:v>
      </x:c>
      <x:c r="C7" s="24" t="str">
        <x:v>Siswa MP1 L-006</x:v>
      </x:c>
      <x:c r="D7" s="24" t="str">
        <x:v>MP / Manajemen Perkantoran</x:v>
      </x:c>
      <x:c r="E7" s="24" t="str">
        <x:v>MP 1</x:v>
      </x:c>
      <x:c r="F7" s="24" t="str">
        <x:v>Laki-laki</x:v>
      </x:c>
      <x:c r="G7" s="24" t="str">
        <x:v>Minat</x:v>
      </x:c>
      <x:c r="H7" s="26" t="n">
        <x:f>Probabilitas!$C$4*INDEX(Probabilitas!$C$10:$C$11,MATCH(D7,Probabilitas!$A$10:$A$11,0))*INDEX(Probabilitas!$C$16:$C$22,MATCH(E7,Probabilitas!$A$16:$A$22,0))*INDEX(Probabilitas!$C$27:$C$28,MATCH(F7,Probabilitas!$A$27:$A$28,0))</x:f>
        <x:v>0.05968519937173402</x:v>
      </x:c>
      <x:c r="I7" s="26" t="n">
        <x:f>Probabilitas!$C$5*INDEX(Probabilitas!$E$10:$E$11,MATCH(D7,Probabilitas!$A$10:$A$11,0))*INDEX(Probabilitas!$E$16:$E$22,MATCH(E7,Probabilitas!$A$16:$A$22,0))*INDEX(Probabilitas!$E$27:$E$28,MATCH(F7,Probabilitas!$A$27:$A$28,0))</x:f>
        <x:v>0.000004548037824451806</x:v>
      </x:c>
      <x:c r="J7" s="26" t="n">
        <x:f>IFERROR(H7/(H7+I7),0)</x:f>
        <x:v>0.9999238053766044</x:v>
      </x:c>
      <x:c r="K7" s="26" t="n">
        <x:f>IFERROR(I7/(H7+I7),0)</x:f>
        <x:v>0.00007619462339563364</x:v>
      </x:c>
      <x:c r="L7" s="24" t="str">
        <x:f>IF(J7&gt;=K7,"Minat","Tidak minat")</x:f>
        <x:v>Minat</x:v>
      </x:c>
      <x:c r="M7" s="24" t="str">
        <x:f>IF(L7=G7,"Sesuai label latih","Berbeda dari label latih")</x:f>
        <x:v>Sesuai label latih</x:v>
      </x:c>
    </x:row>
    <x:row r="8">
      <x:c r="A8" s="24" t="n">
        <x:v>7</x:v>
      </x:c>
      <x:c r="B8" s="24" t="str">
        <x:v>MP1-L-007</x:v>
      </x:c>
      <x:c r="C8" s="24" t="str">
        <x:v>Siswa MP1 L-007</x:v>
      </x:c>
      <x:c r="D8" s="24" t="str">
        <x:v>MP / Manajemen Perkantoran</x:v>
      </x:c>
      <x:c r="E8" s="24" t="str">
        <x:v>MP 1</x:v>
      </x:c>
      <x:c r="F8" s="24" t="str">
        <x:v>Laki-laki</x:v>
      </x:c>
      <x:c r="G8" s="24" t="str">
        <x:v>Minat</x:v>
      </x:c>
      <x:c r="H8" s="26" t="n">
        <x:f>Probabilitas!$C$4*INDEX(Probabilitas!$C$10:$C$11,MATCH(D8,Probabilitas!$A$10:$A$11,0))*INDEX(Probabilitas!$C$16:$C$22,MATCH(E8,Probabilitas!$A$16:$A$22,0))*INDEX(Probabilitas!$C$27:$C$28,MATCH(F8,Probabilitas!$A$27:$A$28,0))</x:f>
        <x:v>0.05968519937173402</x:v>
      </x:c>
      <x:c r="I8" s="26" t="n">
        <x:f>Probabilitas!$C$5*INDEX(Probabilitas!$E$10:$E$11,MATCH(D8,Probabilitas!$A$10:$A$11,0))*INDEX(Probabilitas!$E$16:$E$22,MATCH(E8,Probabilitas!$A$16:$A$22,0))*INDEX(Probabilitas!$E$27:$E$28,MATCH(F8,Probabilitas!$A$27:$A$28,0))</x:f>
        <x:v>0.000004548037824451806</x:v>
      </x:c>
      <x:c r="J8" s="26" t="n">
        <x:f>IFERROR(H8/(H8+I8),0)</x:f>
        <x:v>0.9999238053766044</x:v>
      </x:c>
      <x:c r="K8" s="26" t="n">
        <x:f>IFERROR(I8/(H8+I8),0)</x:f>
        <x:v>0.00007619462339563364</x:v>
      </x:c>
      <x:c r="L8" s="24" t="str">
        <x:f>IF(J8&gt;=K8,"Minat","Tidak minat")</x:f>
        <x:v>Minat</x:v>
      </x:c>
      <x:c r="M8" s="24" t="str">
        <x:f>IF(L8=G8,"Sesuai label latih","Berbeda dari label latih")</x:f>
        <x:v>Sesuai label latih</x:v>
      </x:c>
    </x:row>
    <x:row r="9">
      <x:c r="A9" s="24" t="n">
        <x:v>8</x:v>
      </x:c>
      <x:c r="B9" s="24" t="str">
        <x:v>MP1-L-008</x:v>
      </x:c>
      <x:c r="C9" s="24" t="str">
        <x:v>Siswa MP1 L-008</x:v>
      </x:c>
      <x:c r="D9" s="24" t="str">
        <x:v>MP / Manajemen Perkantoran</x:v>
      </x:c>
      <x:c r="E9" s="24" t="str">
        <x:v>MP 1</x:v>
      </x:c>
      <x:c r="F9" s="24" t="str">
        <x:v>Laki-laki</x:v>
      </x:c>
      <x:c r="G9" s="24" t="str">
        <x:v>Minat</x:v>
      </x:c>
      <x:c r="H9" s="26" t="n">
        <x:f>Probabilitas!$C$4*INDEX(Probabilitas!$C$10:$C$11,MATCH(D9,Probabilitas!$A$10:$A$11,0))*INDEX(Probabilitas!$C$16:$C$22,MATCH(E9,Probabilitas!$A$16:$A$22,0))*INDEX(Probabilitas!$C$27:$C$28,MATCH(F9,Probabilitas!$A$27:$A$28,0))</x:f>
        <x:v>0.05968519937173402</x:v>
      </x:c>
      <x:c r="I9" s="26" t="n">
        <x:f>Probabilitas!$C$5*INDEX(Probabilitas!$E$10:$E$11,MATCH(D9,Probabilitas!$A$10:$A$11,0))*INDEX(Probabilitas!$E$16:$E$22,MATCH(E9,Probabilitas!$A$16:$A$22,0))*INDEX(Probabilitas!$E$27:$E$28,MATCH(F9,Probabilitas!$A$27:$A$28,0))</x:f>
        <x:v>0.000004548037824451806</x:v>
      </x:c>
      <x:c r="J9" s="26" t="n">
        <x:f>IFERROR(H9/(H9+I9),0)</x:f>
        <x:v>0.9999238053766044</x:v>
      </x:c>
      <x:c r="K9" s="26" t="n">
        <x:f>IFERROR(I9/(H9+I9),0)</x:f>
        <x:v>0.00007619462339563364</x:v>
      </x:c>
      <x:c r="L9" s="24" t="str">
        <x:f>IF(J9&gt;=K9,"Minat","Tidak minat")</x:f>
        <x:v>Minat</x:v>
      </x:c>
      <x:c r="M9" s="24" t="str">
        <x:f>IF(L9=G9,"Sesuai label latih","Berbeda dari label latih")</x:f>
        <x:v>Sesuai label latih</x:v>
      </x:c>
    </x:row>
    <x:row r="10">
      <x:c r="A10" s="24" t="n">
        <x:v>9</x:v>
      </x:c>
      <x:c r="B10" s="24" t="str">
        <x:v>MP1-L-009</x:v>
      </x:c>
      <x:c r="C10" s="24" t="str">
        <x:v>Siswa MP1 L-009</x:v>
      </x:c>
      <x:c r="D10" s="24" t="str">
        <x:v>MP / Manajemen Perkantoran</x:v>
      </x:c>
      <x:c r="E10" s="24" t="str">
        <x:v>MP 1</x:v>
      </x:c>
      <x:c r="F10" s="24" t="str">
        <x:v>Laki-laki</x:v>
      </x:c>
      <x:c r="G10" s="24" t="str">
        <x:v>Minat</x:v>
      </x:c>
      <x:c r="H10" s="26" t="n">
        <x:f>Probabilitas!$C$4*INDEX(Probabilitas!$C$10:$C$11,MATCH(D10,Probabilitas!$A$10:$A$11,0))*INDEX(Probabilitas!$C$16:$C$22,MATCH(E10,Probabilitas!$A$16:$A$22,0))*INDEX(Probabilitas!$C$27:$C$28,MATCH(F10,Probabilitas!$A$27:$A$28,0))</x:f>
        <x:v>0.05968519937173402</x:v>
      </x:c>
      <x:c r="I10" s="26" t="n">
        <x:f>Probabilitas!$C$5*INDEX(Probabilitas!$E$10:$E$11,MATCH(D10,Probabilitas!$A$10:$A$11,0))*INDEX(Probabilitas!$E$16:$E$22,MATCH(E10,Probabilitas!$A$16:$A$22,0))*INDEX(Probabilitas!$E$27:$E$28,MATCH(F10,Probabilitas!$A$27:$A$28,0))</x:f>
        <x:v>0.000004548037824451806</x:v>
      </x:c>
      <x:c r="J10" s="26" t="n">
        <x:f>IFERROR(H10/(H10+I10),0)</x:f>
        <x:v>0.9999238053766044</x:v>
      </x:c>
      <x:c r="K10" s="26" t="n">
        <x:f>IFERROR(I10/(H10+I10),0)</x:f>
        <x:v>0.00007619462339563364</x:v>
      </x:c>
      <x:c r="L10" s="24" t="str">
        <x:f>IF(J10&gt;=K10,"Minat","Tidak minat")</x:f>
        <x:v>Minat</x:v>
      </x:c>
      <x:c r="M10" s="24" t="str">
        <x:f>IF(L10=G10,"Sesuai label latih","Berbeda dari label latih")</x:f>
        <x:v>Sesuai label latih</x:v>
      </x:c>
    </x:row>
    <x:row r="11">
      <x:c r="A11" s="24" t="n">
        <x:v>10</x:v>
      </x:c>
      <x:c r="B11" s="24" t="str">
        <x:v>MP1-L-010</x:v>
      </x:c>
      <x:c r="C11" s="24" t="str">
        <x:v>Siswa MP1 L-010</x:v>
      </x:c>
      <x:c r="D11" s="24" t="str">
        <x:v>MP / Manajemen Perkantoran</x:v>
      </x:c>
      <x:c r="E11" s="24" t="str">
        <x:v>MP 1</x:v>
      </x:c>
      <x:c r="F11" s="24" t="str">
        <x:v>Laki-laki</x:v>
      </x:c>
      <x:c r="G11" s="24" t="str">
        <x:v>Minat</x:v>
      </x:c>
      <x:c r="H11" s="26" t="n">
        <x:f>Probabilitas!$C$4*INDEX(Probabilitas!$C$10:$C$11,MATCH(D11,Probabilitas!$A$10:$A$11,0))*INDEX(Probabilitas!$C$16:$C$22,MATCH(E11,Probabilitas!$A$16:$A$22,0))*INDEX(Probabilitas!$C$27:$C$28,MATCH(F11,Probabilitas!$A$27:$A$28,0))</x:f>
        <x:v>0.05968519937173402</x:v>
      </x:c>
      <x:c r="I11" s="26" t="n">
        <x:f>Probabilitas!$C$5*INDEX(Probabilitas!$E$10:$E$11,MATCH(D11,Probabilitas!$A$10:$A$11,0))*INDEX(Probabilitas!$E$16:$E$22,MATCH(E11,Probabilitas!$A$16:$A$22,0))*INDEX(Probabilitas!$E$27:$E$28,MATCH(F11,Probabilitas!$A$27:$A$28,0))</x:f>
        <x:v>0.000004548037824451806</x:v>
      </x:c>
      <x:c r="J11" s="26" t="n">
        <x:f>IFERROR(H11/(H11+I11),0)</x:f>
        <x:v>0.9999238053766044</x:v>
      </x:c>
      <x:c r="K11" s="26" t="n">
        <x:f>IFERROR(I11/(H11+I11),0)</x:f>
        <x:v>0.00007619462339563364</x:v>
      </x:c>
      <x:c r="L11" s="24" t="str">
        <x:f>IF(J11&gt;=K11,"Minat","Tidak minat")</x:f>
        <x:v>Minat</x:v>
      </x:c>
      <x:c r="M11" s="24" t="str">
        <x:f>IF(L11=G11,"Sesuai label latih","Berbeda dari label latih")</x:f>
        <x:v>Sesuai label latih</x:v>
      </x:c>
    </x:row>
    <x:row r="12">
      <x:c r="A12" s="24" t="n">
        <x:v>11</x:v>
      </x:c>
      <x:c r="B12" s="24" t="str">
        <x:v>MP1-L-011</x:v>
      </x:c>
      <x:c r="C12" s="24" t="str">
        <x:v>Siswa MP1 L-011</x:v>
      </x:c>
      <x:c r="D12" s="24" t="str">
        <x:v>MP / Manajemen Perkantoran</x:v>
      </x:c>
      <x:c r="E12" s="24" t="str">
        <x:v>MP 1</x:v>
      </x:c>
      <x:c r="F12" s="24" t="str">
        <x:v>Laki-laki</x:v>
      </x:c>
      <x:c r="G12" s="24" t="str">
        <x:v>Minat</x:v>
      </x:c>
      <x:c r="H12" s="26" t="n">
        <x:f>Probabilitas!$C$4*INDEX(Probabilitas!$C$10:$C$11,MATCH(D12,Probabilitas!$A$10:$A$11,0))*INDEX(Probabilitas!$C$16:$C$22,MATCH(E12,Probabilitas!$A$16:$A$22,0))*INDEX(Probabilitas!$C$27:$C$28,MATCH(F12,Probabilitas!$A$27:$A$28,0))</x:f>
        <x:v>0.05968519937173402</x:v>
      </x:c>
      <x:c r="I12" s="26" t="n">
        <x:f>Probabilitas!$C$5*INDEX(Probabilitas!$E$10:$E$11,MATCH(D12,Probabilitas!$A$10:$A$11,0))*INDEX(Probabilitas!$E$16:$E$22,MATCH(E12,Probabilitas!$A$16:$A$22,0))*INDEX(Probabilitas!$E$27:$E$28,MATCH(F12,Probabilitas!$A$27:$A$28,0))</x:f>
        <x:v>0.000004548037824451806</x:v>
      </x:c>
      <x:c r="J12" s="26" t="n">
        <x:f>IFERROR(H12/(H12+I12),0)</x:f>
        <x:v>0.9999238053766044</x:v>
      </x:c>
      <x:c r="K12" s="26" t="n">
        <x:f>IFERROR(I12/(H12+I12),0)</x:f>
        <x:v>0.00007619462339563364</x:v>
      </x:c>
      <x:c r="L12" s="24" t="str">
        <x:f>IF(J12&gt;=K12,"Minat","Tidak minat")</x:f>
        <x:v>Minat</x:v>
      </x:c>
      <x:c r="M12" s="24" t="str">
        <x:f>IF(L12=G12,"Sesuai label latih","Berbeda dari label latih")</x:f>
        <x:v>Sesuai label latih</x:v>
      </x:c>
    </x:row>
    <x:row r="13">
      <x:c r="A13" s="24" t="n">
        <x:v>12</x:v>
      </x:c>
      <x:c r="B13" s="24" t="str">
        <x:v>MP1-L-012</x:v>
      </x:c>
      <x:c r="C13" s="24" t="str">
        <x:v>Siswa MP1 L-012</x:v>
      </x:c>
      <x:c r="D13" s="24" t="str">
        <x:v>MP / Manajemen Perkantoran</x:v>
      </x:c>
      <x:c r="E13" s="24" t="str">
        <x:v>MP 1</x:v>
      </x:c>
      <x:c r="F13" s="24" t="str">
        <x:v>Laki-laki</x:v>
      </x:c>
      <x:c r="G13" s="24" t="str">
        <x:v>Minat</x:v>
      </x:c>
      <x:c r="H13" s="26" t="n">
        <x:f>Probabilitas!$C$4*INDEX(Probabilitas!$C$10:$C$11,MATCH(D13,Probabilitas!$A$10:$A$11,0))*INDEX(Probabilitas!$C$16:$C$22,MATCH(E13,Probabilitas!$A$16:$A$22,0))*INDEX(Probabilitas!$C$27:$C$28,MATCH(F13,Probabilitas!$A$27:$A$28,0))</x:f>
        <x:v>0.05968519937173402</x:v>
      </x:c>
      <x:c r="I13" s="26" t="n">
        <x:f>Probabilitas!$C$5*INDEX(Probabilitas!$E$10:$E$11,MATCH(D13,Probabilitas!$A$10:$A$11,0))*INDEX(Probabilitas!$E$16:$E$22,MATCH(E13,Probabilitas!$A$16:$A$22,0))*INDEX(Probabilitas!$E$27:$E$28,MATCH(F13,Probabilitas!$A$27:$A$28,0))</x:f>
        <x:v>0.000004548037824451806</x:v>
      </x:c>
      <x:c r="J13" s="26" t="n">
        <x:f>IFERROR(H13/(H13+I13),0)</x:f>
        <x:v>0.9999238053766044</x:v>
      </x:c>
      <x:c r="K13" s="26" t="n">
        <x:f>IFERROR(I13/(H13+I13),0)</x:f>
        <x:v>0.00007619462339563364</x:v>
      </x:c>
      <x:c r="L13" s="24" t="str">
        <x:f>IF(J13&gt;=K13,"Minat","Tidak minat")</x:f>
        <x:v>Minat</x:v>
      </x:c>
      <x:c r="M13" s="24" t="str">
        <x:f>IF(L13=G13,"Sesuai label latih","Berbeda dari label latih")</x:f>
        <x:v>Sesuai label latih</x:v>
      </x:c>
    </x:row>
    <x:row r="14">
      <x:c r="A14" s="24" t="n">
        <x:v>13</x:v>
      </x:c>
      <x:c r="B14" s="24" t="str">
        <x:v>MP1-L-013</x:v>
      </x:c>
      <x:c r="C14" s="24" t="str">
        <x:v>Siswa MP1 L-013</x:v>
      </x:c>
      <x:c r="D14" s="24" t="str">
        <x:v>MP / Manajemen Perkantoran</x:v>
      </x:c>
      <x:c r="E14" s="24" t="str">
        <x:v>MP 1</x:v>
      </x:c>
      <x:c r="F14" s="24" t="str">
        <x:v>Laki-laki</x:v>
      </x:c>
      <x:c r="G14" s="24" t="str">
        <x:v>Minat</x:v>
      </x:c>
      <x:c r="H14" s="26" t="n">
        <x:f>Probabilitas!$C$4*INDEX(Probabilitas!$C$10:$C$11,MATCH(D14,Probabilitas!$A$10:$A$11,0))*INDEX(Probabilitas!$C$16:$C$22,MATCH(E14,Probabilitas!$A$16:$A$22,0))*INDEX(Probabilitas!$C$27:$C$28,MATCH(F14,Probabilitas!$A$27:$A$28,0))</x:f>
        <x:v>0.05968519937173402</x:v>
      </x:c>
      <x:c r="I14" s="26" t="n">
        <x:f>Probabilitas!$C$5*INDEX(Probabilitas!$E$10:$E$11,MATCH(D14,Probabilitas!$A$10:$A$11,0))*INDEX(Probabilitas!$E$16:$E$22,MATCH(E14,Probabilitas!$A$16:$A$22,0))*INDEX(Probabilitas!$E$27:$E$28,MATCH(F14,Probabilitas!$A$27:$A$28,0))</x:f>
        <x:v>0.000004548037824451806</x:v>
      </x:c>
      <x:c r="J14" s="26" t="n">
        <x:f>IFERROR(H14/(H14+I14),0)</x:f>
        <x:v>0.9999238053766044</x:v>
      </x:c>
      <x:c r="K14" s="26" t="n">
        <x:f>IFERROR(I14/(H14+I14),0)</x:f>
        <x:v>0.00007619462339563364</x:v>
      </x:c>
      <x:c r="L14" s="24" t="str">
        <x:f>IF(J14&gt;=K14,"Minat","Tidak minat")</x:f>
        <x:v>Minat</x:v>
      </x:c>
      <x:c r="M14" s="24" t="str">
        <x:f>IF(L14=G14,"Sesuai label latih","Berbeda dari label latih")</x:f>
        <x:v>Sesuai label latih</x:v>
      </x:c>
    </x:row>
    <x:row r="15">
      <x:c r="A15" s="24" t="n">
        <x:v>14</x:v>
      </x:c>
      <x:c r="B15" s="24" t="str">
        <x:v>MP1-L-014</x:v>
      </x:c>
      <x:c r="C15" s="24" t="str">
        <x:v>Siswa MP1 L-014</x:v>
      </x:c>
      <x:c r="D15" s="24" t="str">
        <x:v>MP / Manajemen Perkantoran</x:v>
      </x:c>
      <x:c r="E15" s="24" t="str">
        <x:v>MP 1</x:v>
      </x:c>
      <x:c r="F15" s="24" t="str">
        <x:v>Laki-laki</x:v>
      </x:c>
      <x:c r="G15" s="24" t="str">
        <x:v>Minat</x:v>
      </x:c>
      <x:c r="H15" s="26" t="n">
        <x:f>Probabilitas!$C$4*INDEX(Probabilitas!$C$10:$C$11,MATCH(D15,Probabilitas!$A$10:$A$11,0))*INDEX(Probabilitas!$C$16:$C$22,MATCH(E15,Probabilitas!$A$16:$A$22,0))*INDEX(Probabilitas!$C$27:$C$28,MATCH(F15,Probabilitas!$A$27:$A$28,0))</x:f>
        <x:v>0.05968519937173402</x:v>
      </x:c>
      <x:c r="I15" s="26" t="n">
        <x:f>Probabilitas!$C$5*INDEX(Probabilitas!$E$10:$E$11,MATCH(D15,Probabilitas!$A$10:$A$11,0))*INDEX(Probabilitas!$E$16:$E$22,MATCH(E15,Probabilitas!$A$16:$A$22,0))*INDEX(Probabilitas!$E$27:$E$28,MATCH(F15,Probabilitas!$A$27:$A$28,0))</x:f>
        <x:v>0.000004548037824451806</x:v>
      </x:c>
      <x:c r="J15" s="26" t="n">
        <x:f>IFERROR(H15/(H15+I15),0)</x:f>
        <x:v>0.9999238053766044</x:v>
      </x:c>
      <x:c r="K15" s="26" t="n">
        <x:f>IFERROR(I15/(H15+I15),0)</x:f>
        <x:v>0.00007619462339563364</x:v>
      </x:c>
      <x:c r="L15" s="24" t="str">
        <x:f>IF(J15&gt;=K15,"Minat","Tidak minat")</x:f>
        <x:v>Minat</x:v>
      </x:c>
      <x:c r="M15" s="24" t="str">
        <x:f>IF(L15=G15,"Sesuai label latih","Berbeda dari label latih")</x:f>
        <x:v>Sesuai label latih</x:v>
      </x:c>
    </x:row>
    <x:row r="16">
      <x:c r="A16" s="24" t="n">
        <x:v>15</x:v>
      </x:c>
      <x:c r="B16" s="24" t="str">
        <x:v>MP1-L-015</x:v>
      </x:c>
      <x:c r="C16" s="24" t="str">
        <x:v>Siswa MP1 L-015</x:v>
      </x:c>
      <x:c r="D16" s="24" t="str">
        <x:v>MP / Manajemen Perkantoran</x:v>
      </x:c>
      <x:c r="E16" s="24" t="str">
        <x:v>MP 1</x:v>
      </x:c>
      <x:c r="F16" s="24" t="str">
        <x:v>Laki-laki</x:v>
      </x:c>
      <x:c r="G16" s="24" t="str">
        <x:v>Minat</x:v>
      </x:c>
      <x:c r="H16" s="26" t="n">
        <x:f>Probabilitas!$C$4*INDEX(Probabilitas!$C$10:$C$11,MATCH(D16,Probabilitas!$A$10:$A$11,0))*INDEX(Probabilitas!$C$16:$C$22,MATCH(E16,Probabilitas!$A$16:$A$22,0))*INDEX(Probabilitas!$C$27:$C$28,MATCH(F16,Probabilitas!$A$27:$A$28,0))</x:f>
        <x:v>0.05968519937173402</x:v>
      </x:c>
      <x:c r="I16" s="26" t="n">
        <x:f>Probabilitas!$C$5*INDEX(Probabilitas!$E$10:$E$11,MATCH(D16,Probabilitas!$A$10:$A$11,0))*INDEX(Probabilitas!$E$16:$E$22,MATCH(E16,Probabilitas!$A$16:$A$22,0))*INDEX(Probabilitas!$E$27:$E$28,MATCH(F16,Probabilitas!$A$27:$A$28,0))</x:f>
        <x:v>0.000004548037824451806</x:v>
      </x:c>
      <x:c r="J16" s="26" t="n">
        <x:f>IFERROR(H16/(H16+I16),0)</x:f>
        <x:v>0.9999238053766044</x:v>
      </x:c>
      <x:c r="K16" s="26" t="n">
        <x:f>IFERROR(I16/(H16+I16),0)</x:f>
        <x:v>0.00007619462339563364</x:v>
      </x:c>
      <x:c r="L16" s="24" t="str">
        <x:f>IF(J16&gt;=K16,"Minat","Tidak minat")</x:f>
        <x:v>Minat</x:v>
      </x:c>
      <x:c r="M16" s="24" t="str">
        <x:f>IF(L16=G16,"Sesuai label latih","Berbeda dari label latih")</x:f>
        <x:v>Sesuai label latih</x:v>
      </x:c>
    </x:row>
    <x:row r="17">
      <x:c r="A17" s="24" t="n">
        <x:v>16</x:v>
      </x:c>
      <x:c r="B17" s="24" t="str">
        <x:v>MP1-L-016</x:v>
      </x:c>
      <x:c r="C17" s="24" t="str">
        <x:v>Siswa MP1 L-016</x:v>
      </x:c>
      <x:c r="D17" s="24" t="str">
        <x:v>MP / Manajemen Perkantoran</x:v>
      </x:c>
      <x:c r="E17" s="24" t="str">
        <x:v>MP 1</x:v>
      </x:c>
      <x:c r="F17" s="24" t="str">
        <x:v>Laki-laki</x:v>
      </x:c>
      <x:c r="G17" s="24" t="str">
        <x:v>Minat</x:v>
      </x:c>
      <x:c r="H17" s="26" t="n">
        <x:f>Probabilitas!$C$4*INDEX(Probabilitas!$C$10:$C$11,MATCH(D17,Probabilitas!$A$10:$A$11,0))*INDEX(Probabilitas!$C$16:$C$22,MATCH(E17,Probabilitas!$A$16:$A$22,0))*INDEX(Probabilitas!$C$27:$C$28,MATCH(F17,Probabilitas!$A$27:$A$28,0))</x:f>
        <x:v>0.05968519937173402</x:v>
      </x:c>
      <x:c r="I17" s="26" t="n">
        <x:f>Probabilitas!$C$5*INDEX(Probabilitas!$E$10:$E$11,MATCH(D17,Probabilitas!$A$10:$A$11,0))*INDEX(Probabilitas!$E$16:$E$22,MATCH(E17,Probabilitas!$A$16:$A$22,0))*INDEX(Probabilitas!$E$27:$E$28,MATCH(F17,Probabilitas!$A$27:$A$28,0))</x:f>
        <x:v>0.000004548037824451806</x:v>
      </x:c>
      <x:c r="J17" s="26" t="n">
        <x:f>IFERROR(H17/(H17+I17),0)</x:f>
        <x:v>0.9999238053766044</x:v>
      </x:c>
      <x:c r="K17" s="26" t="n">
        <x:f>IFERROR(I17/(H17+I17),0)</x:f>
        <x:v>0.00007619462339563364</x:v>
      </x:c>
      <x:c r="L17" s="24" t="str">
        <x:f>IF(J17&gt;=K17,"Minat","Tidak minat")</x:f>
        <x:v>Minat</x:v>
      </x:c>
      <x:c r="M17" s="24" t="str">
        <x:f>IF(L17=G17,"Sesuai label latih","Berbeda dari label latih")</x:f>
        <x:v>Sesuai label latih</x:v>
      </x:c>
    </x:row>
    <x:row r="18">
      <x:c r="A18" s="24" t="n">
        <x:v>17</x:v>
      </x:c>
      <x:c r="B18" s="24" t="str">
        <x:v>MP1-L-017</x:v>
      </x:c>
      <x:c r="C18" s="24" t="str">
        <x:v>Siswa MP1 L-017</x:v>
      </x:c>
      <x:c r="D18" s="24" t="str">
        <x:v>MP / Manajemen Perkantoran</x:v>
      </x:c>
      <x:c r="E18" s="24" t="str">
        <x:v>MP 1</x:v>
      </x:c>
      <x:c r="F18" s="24" t="str">
        <x:v>Laki-laki</x:v>
      </x:c>
      <x:c r="G18" s="24" t="str">
        <x:v>Minat</x:v>
      </x:c>
      <x:c r="H18" s="26" t="n">
        <x:f>Probabilitas!$C$4*INDEX(Probabilitas!$C$10:$C$11,MATCH(D18,Probabilitas!$A$10:$A$11,0))*INDEX(Probabilitas!$C$16:$C$22,MATCH(E18,Probabilitas!$A$16:$A$22,0))*INDEX(Probabilitas!$C$27:$C$28,MATCH(F18,Probabilitas!$A$27:$A$28,0))</x:f>
        <x:v>0.05968519937173402</x:v>
      </x:c>
      <x:c r="I18" s="26" t="n">
        <x:f>Probabilitas!$C$5*INDEX(Probabilitas!$E$10:$E$11,MATCH(D18,Probabilitas!$A$10:$A$11,0))*INDEX(Probabilitas!$E$16:$E$22,MATCH(E18,Probabilitas!$A$16:$A$22,0))*INDEX(Probabilitas!$E$27:$E$28,MATCH(F18,Probabilitas!$A$27:$A$28,0))</x:f>
        <x:v>0.000004548037824451806</x:v>
      </x:c>
      <x:c r="J18" s="26" t="n">
        <x:f>IFERROR(H18/(H18+I18),0)</x:f>
        <x:v>0.9999238053766044</x:v>
      </x:c>
      <x:c r="K18" s="26" t="n">
        <x:f>IFERROR(I18/(H18+I18),0)</x:f>
        <x:v>0.00007619462339563364</x:v>
      </x:c>
      <x:c r="L18" s="24" t="str">
        <x:f>IF(J18&gt;=K18,"Minat","Tidak minat")</x:f>
        <x:v>Minat</x:v>
      </x:c>
      <x:c r="M18" s="24" t="str">
        <x:f>IF(L18=G18,"Sesuai label latih","Berbeda dari label latih")</x:f>
        <x:v>Sesuai label latih</x:v>
      </x:c>
    </x:row>
    <x:row r="19">
      <x:c r="A19" s="24" t="n">
        <x:v>18</x:v>
      </x:c>
      <x:c r="B19" s="24" t="str">
        <x:v>MP1-L-018</x:v>
      </x:c>
      <x:c r="C19" s="24" t="str">
        <x:v>Siswa MP1 L-018</x:v>
      </x:c>
      <x:c r="D19" s="24" t="str">
        <x:v>MP / Manajemen Perkantoran</x:v>
      </x:c>
      <x:c r="E19" s="24" t="str">
        <x:v>MP 1</x:v>
      </x:c>
      <x:c r="F19" s="24" t="str">
        <x:v>Laki-laki</x:v>
      </x:c>
      <x:c r="G19" s="24" t="str">
        <x:v>Minat</x:v>
      </x:c>
      <x:c r="H19" s="26" t="n">
        <x:f>Probabilitas!$C$4*INDEX(Probabilitas!$C$10:$C$11,MATCH(D19,Probabilitas!$A$10:$A$11,0))*INDEX(Probabilitas!$C$16:$C$22,MATCH(E19,Probabilitas!$A$16:$A$22,0))*INDEX(Probabilitas!$C$27:$C$28,MATCH(F19,Probabilitas!$A$27:$A$28,0))</x:f>
        <x:v>0.05968519937173402</x:v>
      </x:c>
      <x:c r="I19" s="26" t="n">
        <x:f>Probabilitas!$C$5*INDEX(Probabilitas!$E$10:$E$11,MATCH(D19,Probabilitas!$A$10:$A$11,0))*INDEX(Probabilitas!$E$16:$E$22,MATCH(E19,Probabilitas!$A$16:$A$22,0))*INDEX(Probabilitas!$E$27:$E$28,MATCH(F19,Probabilitas!$A$27:$A$28,0))</x:f>
        <x:v>0.000004548037824451806</x:v>
      </x:c>
      <x:c r="J19" s="26" t="n">
        <x:f>IFERROR(H19/(H19+I19),0)</x:f>
        <x:v>0.9999238053766044</x:v>
      </x:c>
      <x:c r="K19" s="26" t="n">
        <x:f>IFERROR(I19/(H19+I19),0)</x:f>
        <x:v>0.00007619462339563364</x:v>
      </x:c>
      <x:c r="L19" s="24" t="str">
        <x:f>IF(J19&gt;=K19,"Minat","Tidak minat")</x:f>
        <x:v>Minat</x:v>
      </x:c>
      <x:c r="M19" s="24" t="str">
        <x:f>IF(L19=G19,"Sesuai label latih","Berbeda dari label latih")</x:f>
        <x:v>Sesuai label latih</x:v>
      </x:c>
    </x:row>
    <x:row r="20">
      <x:c r="A20" s="24" t="n">
        <x:v>19</x:v>
      </x:c>
      <x:c r="B20" s="24" t="str">
        <x:v>MP1-L-019</x:v>
      </x:c>
      <x:c r="C20" s="24" t="str">
        <x:v>Siswa MP1 L-019</x:v>
      </x:c>
      <x:c r="D20" s="24" t="str">
        <x:v>MP / Manajemen Perkantoran</x:v>
      </x:c>
      <x:c r="E20" s="24" t="str">
        <x:v>MP 1</x:v>
      </x:c>
      <x:c r="F20" s="24" t="str">
        <x:v>Laki-laki</x:v>
      </x:c>
      <x:c r="G20" s="24" t="str">
        <x:v>Minat</x:v>
      </x:c>
      <x:c r="H20" s="26" t="n">
        <x:f>Probabilitas!$C$4*INDEX(Probabilitas!$C$10:$C$11,MATCH(D20,Probabilitas!$A$10:$A$11,0))*INDEX(Probabilitas!$C$16:$C$22,MATCH(E20,Probabilitas!$A$16:$A$22,0))*INDEX(Probabilitas!$C$27:$C$28,MATCH(F20,Probabilitas!$A$27:$A$28,0))</x:f>
        <x:v>0.05968519937173402</x:v>
      </x:c>
      <x:c r="I20" s="26" t="n">
        <x:f>Probabilitas!$C$5*INDEX(Probabilitas!$E$10:$E$11,MATCH(D20,Probabilitas!$A$10:$A$11,0))*INDEX(Probabilitas!$E$16:$E$22,MATCH(E20,Probabilitas!$A$16:$A$22,0))*INDEX(Probabilitas!$E$27:$E$28,MATCH(F20,Probabilitas!$A$27:$A$28,0))</x:f>
        <x:v>0.000004548037824451806</x:v>
      </x:c>
      <x:c r="J20" s="26" t="n">
        <x:f>IFERROR(H20/(H20+I20),0)</x:f>
        <x:v>0.9999238053766044</x:v>
      </x:c>
      <x:c r="K20" s="26" t="n">
        <x:f>IFERROR(I20/(H20+I20),0)</x:f>
        <x:v>0.00007619462339563364</x:v>
      </x:c>
      <x:c r="L20" s="24" t="str">
        <x:f>IF(J20&gt;=K20,"Minat","Tidak minat")</x:f>
        <x:v>Minat</x:v>
      </x:c>
      <x:c r="M20" s="24" t="str">
        <x:f>IF(L20=G20,"Sesuai label latih","Berbeda dari label latih")</x:f>
        <x:v>Sesuai label latih</x:v>
      </x:c>
    </x:row>
    <x:row r="21">
      <x:c r="A21" s="24" t="n">
        <x:v>20</x:v>
      </x:c>
      <x:c r="B21" s="24" t="str">
        <x:v>MP1-L-020</x:v>
      </x:c>
      <x:c r="C21" s="24" t="str">
        <x:v>Siswa MP1 L-020</x:v>
      </x:c>
      <x:c r="D21" s="24" t="str">
        <x:v>MP / Manajemen Perkantoran</x:v>
      </x:c>
      <x:c r="E21" s="24" t="str">
        <x:v>MP 1</x:v>
      </x:c>
      <x:c r="F21" s="24" t="str">
        <x:v>Laki-laki</x:v>
      </x:c>
      <x:c r="G21" s="24" t="str">
        <x:v>Minat</x:v>
      </x:c>
      <x:c r="H21" s="26" t="n">
        <x:f>Probabilitas!$C$4*INDEX(Probabilitas!$C$10:$C$11,MATCH(D21,Probabilitas!$A$10:$A$11,0))*INDEX(Probabilitas!$C$16:$C$22,MATCH(E21,Probabilitas!$A$16:$A$22,0))*INDEX(Probabilitas!$C$27:$C$28,MATCH(F21,Probabilitas!$A$27:$A$28,0))</x:f>
        <x:v>0.05968519937173402</x:v>
      </x:c>
      <x:c r="I21" s="26" t="n">
        <x:f>Probabilitas!$C$5*INDEX(Probabilitas!$E$10:$E$11,MATCH(D21,Probabilitas!$A$10:$A$11,0))*INDEX(Probabilitas!$E$16:$E$22,MATCH(E21,Probabilitas!$A$16:$A$22,0))*INDEX(Probabilitas!$E$27:$E$28,MATCH(F21,Probabilitas!$A$27:$A$28,0))</x:f>
        <x:v>0.000004548037824451806</x:v>
      </x:c>
      <x:c r="J21" s="26" t="n">
        <x:f>IFERROR(H21/(H21+I21),0)</x:f>
        <x:v>0.9999238053766044</x:v>
      </x:c>
      <x:c r="K21" s="26" t="n">
        <x:f>IFERROR(I21/(H21+I21),0)</x:f>
        <x:v>0.00007619462339563364</x:v>
      </x:c>
      <x:c r="L21" s="24" t="str">
        <x:f>IF(J21&gt;=K21,"Minat","Tidak minat")</x:f>
        <x:v>Minat</x:v>
      </x:c>
      <x:c r="M21" s="24" t="str">
        <x:f>IF(L21=G21,"Sesuai label latih","Berbeda dari label latih")</x:f>
        <x:v>Sesuai label latih</x:v>
      </x:c>
    </x:row>
    <x:row r="22">
      <x:c r="A22" s="24" t="n">
        <x:v>21</x:v>
      </x:c>
      <x:c r="B22" s="24" t="str">
        <x:v>MP1-L-021</x:v>
      </x:c>
      <x:c r="C22" s="24" t="str">
        <x:v>Siswa MP1 L-021</x:v>
      </x:c>
      <x:c r="D22" s="24" t="str">
        <x:v>MP / Manajemen Perkantoran</x:v>
      </x:c>
      <x:c r="E22" s="24" t="str">
        <x:v>MP 1</x:v>
      </x:c>
      <x:c r="F22" s="24" t="str">
        <x:v>Laki-laki</x:v>
      </x:c>
      <x:c r="G22" s="24" t="str">
        <x:v>Minat</x:v>
      </x:c>
      <x:c r="H22" s="26" t="n">
        <x:f>Probabilitas!$C$4*INDEX(Probabilitas!$C$10:$C$11,MATCH(D22,Probabilitas!$A$10:$A$11,0))*INDEX(Probabilitas!$C$16:$C$22,MATCH(E22,Probabilitas!$A$16:$A$22,0))*INDEX(Probabilitas!$C$27:$C$28,MATCH(F22,Probabilitas!$A$27:$A$28,0))</x:f>
        <x:v>0.05968519937173402</x:v>
      </x:c>
      <x:c r="I22" s="26" t="n">
        <x:f>Probabilitas!$C$5*INDEX(Probabilitas!$E$10:$E$11,MATCH(D22,Probabilitas!$A$10:$A$11,0))*INDEX(Probabilitas!$E$16:$E$22,MATCH(E22,Probabilitas!$A$16:$A$22,0))*INDEX(Probabilitas!$E$27:$E$28,MATCH(F22,Probabilitas!$A$27:$A$28,0))</x:f>
        <x:v>0.000004548037824451806</x:v>
      </x:c>
      <x:c r="J22" s="26" t="n">
        <x:f>IFERROR(H22/(H22+I22),0)</x:f>
        <x:v>0.9999238053766044</x:v>
      </x:c>
      <x:c r="K22" s="26" t="n">
        <x:f>IFERROR(I22/(H22+I22),0)</x:f>
        <x:v>0.00007619462339563364</x:v>
      </x:c>
      <x:c r="L22" s="24" t="str">
        <x:f>IF(J22&gt;=K22,"Minat","Tidak minat")</x:f>
        <x:v>Minat</x:v>
      </x:c>
      <x:c r="M22" s="24" t="str">
        <x:f>IF(L22=G22,"Sesuai label latih","Berbeda dari label latih")</x:f>
        <x:v>Sesuai label latih</x:v>
      </x:c>
    </x:row>
    <x:row r="23">
      <x:c r="A23" s="24" t="n">
        <x:v>22</x:v>
      </x:c>
      <x:c r="B23" s="24" t="str">
        <x:v>MP1-L-022</x:v>
      </x:c>
      <x:c r="C23" s="24" t="str">
        <x:v>Siswa MP1 L-022</x:v>
      </x:c>
      <x:c r="D23" s="24" t="str">
        <x:v>MP / Manajemen Perkantoran</x:v>
      </x:c>
      <x:c r="E23" s="24" t="str">
        <x:v>MP 1</x:v>
      </x:c>
      <x:c r="F23" s="24" t="str">
        <x:v>Laki-laki</x:v>
      </x:c>
      <x:c r="G23" s="24" t="str">
        <x:v>Minat</x:v>
      </x:c>
      <x:c r="H23" s="26" t="n">
        <x:f>Probabilitas!$C$4*INDEX(Probabilitas!$C$10:$C$11,MATCH(D23,Probabilitas!$A$10:$A$11,0))*INDEX(Probabilitas!$C$16:$C$22,MATCH(E23,Probabilitas!$A$16:$A$22,0))*INDEX(Probabilitas!$C$27:$C$28,MATCH(F23,Probabilitas!$A$27:$A$28,0))</x:f>
        <x:v>0.05968519937173402</x:v>
      </x:c>
      <x:c r="I23" s="26" t="n">
        <x:f>Probabilitas!$C$5*INDEX(Probabilitas!$E$10:$E$11,MATCH(D23,Probabilitas!$A$10:$A$11,0))*INDEX(Probabilitas!$E$16:$E$22,MATCH(E23,Probabilitas!$A$16:$A$22,0))*INDEX(Probabilitas!$E$27:$E$28,MATCH(F23,Probabilitas!$A$27:$A$28,0))</x:f>
        <x:v>0.000004548037824451806</x:v>
      </x:c>
      <x:c r="J23" s="26" t="n">
        <x:f>IFERROR(H23/(H23+I23),0)</x:f>
        <x:v>0.9999238053766044</x:v>
      </x:c>
      <x:c r="K23" s="26" t="n">
        <x:f>IFERROR(I23/(H23+I23),0)</x:f>
        <x:v>0.00007619462339563364</x:v>
      </x:c>
      <x:c r="L23" s="24" t="str">
        <x:f>IF(J23&gt;=K23,"Minat","Tidak minat")</x:f>
        <x:v>Minat</x:v>
      </x:c>
      <x:c r="M23" s="24" t="str">
        <x:f>IF(L23=G23,"Sesuai label latih","Berbeda dari label latih")</x:f>
        <x:v>Sesuai label latih</x:v>
      </x:c>
    </x:row>
    <x:row r="24">
      <x:c r="A24" s="24" t="n">
        <x:v>23</x:v>
      </x:c>
      <x:c r="B24" s="24" t="str">
        <x:v>MP1-L-023</x:v>
      </x:c>
      <x:c r="C24" s="24" t="str">
        <x:v>Siswa MP1 L-023</x:v>
      </x:c>
      <x:c r="D24" s="24" t="str">
        <x:v>MP / Manajemen Perkantoran</x:v>
      </x:c>
      <x:c r="E24" s="24" t="str">
        <x:v>MP 1</x:v>
      </x:c>
      <x:c r="F24" s="24" t="str">
        <x:v>Laki-laki</x:v>
      </x:c>
      <x:c r="G24" s="24" t="str">
        <x:v>Minat</x:v>
      </x:c>
      <x:c r="H24" s="26" t="n">
        <x:f>Probabilitas!$C$4*INDEX(Probabilitas!$C$10:$C$11,MATCH(D24,Probabilitas!$A$10:$A$11,0))*INDEX(Probabilitas!$C$16:$C$22,MATCH(E24,Probabilitas!$A$16:$A$22,0))*INDEX(Probabilitas!$C$27:$C$28,MATCH(F24,Probabilitas!$A$27:$A$28,0))</x:f>
        <x:v>0.05968519937173402</x:v>
      </x:c>
      <x:c r="I24" s="26" t="n">
        <x:f>Probabilitas!$C$5*INDEX(Probabilitas!$E$10:$E$11,MATCH(D24,Probabilitas!$A$10:$A$11,0))*INDEX(Probabilitas!$E$16:$E$22,MATCH(E24,Probabilitas!$A$16:$A$22,0))*INDEX(Probabilitas!$E$27:$E$28,MATCH(F24,Probabilitas!$A$27:$A$28,0))</x:f>
        <x:v>0.000004548037824451806</x:v>
      </x:c>
      <x:c r="J24" s="26" t="n">
        <x:f>IFERROR(H24/(H24+I24),0)</x:f>
        <x:v>0.9999238053766044</x:v>
      </x:c>
      <x:c r="K24" s="26" t="n">
        <x:f>IFERROR(I24/(H24+I24),0)</x:f>
        <x:v>0.00007619462339563364</x:v>
      </x:c>
      <x:c r="L24" s="24" t="str">
        <x:f>IF(J24&gt;=K24,"Minat","Tidak minat")</x:f>
        <x:v>Minat</x:v>
      </x:c>
      <x:c r="M24" s="24" t="str">
        <x:f>IF(L24=G24,"Sesuai label latih","Berbeda dari label latih")</x:f>
        <x:v>Sesuai label latih</x:v>
      </x:c>
    </x:row>
    <x:row r="25">
      <x:c r="A25" s="24" t="n">
        <x:v>24</x:v>
      </x:c>
      <x:c r="B25" s="24" t="str">
        <x:v>MP1-L-024</x:v>
      </x:c>
      <x:c r="C25" s="24" t="str">
        <x:v>Siswa MP1 L-024</x:v>
      </x:c>
      <x:c r="D25" s="24" t="str">
        <x:v>MP / Manajemen Perkantoran</x:v>
      </x:c>
      <x:c r="E25" s="24" t="str">
        <x:v>MP 1</x:v>
      </x:c>
      <x:c r="F25" s="24" t="str">
        <x:v>Laki-laki</x:v>
      </x:c>
      <x:c r="G25" s="24" t="str">
        <x:v>Minat</x:v>
      </x:c>
      <x:c r="H25" s="26" t="n">
        <x:f>Probabilitas!$C$4*INDEX(Probabilitas!$C$10:$C$11,MATCH(D25,Probabilitas!$A$10:$A$11,0))*INDEX(Probabilitas!$C$16:$C$22,MATCH(E25,Probabilitas!$A$16:$A$22,0))*INDEX(Probabilitas!$C$27:$C$28,MATCH(F25,Probabilitas!$A$27:$A$28,0))</x:f>
        <x:v>0.05968519937173402</x:v>
      </x:c>
      <x:c r="I25" s="26" t="n">
        <x:f>Probabilitas!$C$5*INDEX(Probabilitas!$E$10:$E$11,MATCH(D25,Probabilitas!$A$10:$A$11,0))*INDEX(Probabilitas!$E$16:$E$22,MATCH(E25,Probabilitas!$A$16:$A$22,0))*INDEX(Probabilitas!$E$27:$E$28,MATCH(F25,Probabilitas!$A$27:$A$28,0))</x:f>
        <x:v>0.000004548037824451806</x:v>
      </x:c>
      <x:c r="J25" s="26" t="n">
        <x:f>IFERROR(H25/(H25+I25),0)</x:f>
        <x:v>0.9999238053766044</x:v>
      </x:c>
      <x:c r="K25" s="26" t="n">
        <x:f>IFERROR(I25/(H25+I25),0)</x:f>
        <x:v>0.00007619462339563364</x:v>
      </x:c>
      <x:c r="L25" s="24" t="str">
        <x:f>IF(J25&gt;=K25,"Minat","Tidak minat")</x:f>
        <x:v>Minat</x:v>
      </x:c>
      <x:c r="M25" s="24" t="str">
        <x:f>IF(L25=G25,"Sesuai label latih","Berbeda dari label latih")</x:f>
        <x:v>Sesuai label latih</x:v>
      </x:c>
    </x:row>
    <x:row r="26">
      <x:c r="A26" s="24" t="n">
        <x:v>25</x:v>
      </x:c>
      <x:c r="B26" s="24" t="str">
        <x:v>MP1-L-025</x:v>
      </x:c>
      <x:c r="C26" s="24" t="str">
        <x:v>Siswa MP1 L-025</x:v>
      </x:c>
      <x:c r="D26" s="24" t="str">
        <x:v>MP / Manajemen Perkantoran</x:v>
      </x:c>
      <x:c r="E26" s="24" t="str">
        <x:v>MP 1</x:v>
      </x:c>
      <x:c r="F26" s="24" t="str">
        <x:v>Laki-laki</x:v>
      </x:c>
      <x:c r="G26" s="24" t="str">
        <x:v>Minat</x:v>
      </x:c>
      <x:c r="H26" s="26" t="n">
        <x:f>Probabilitas!$C$4*INDEX(Probabilitas!$C$10:$C$11,MATCH(D26,Probabilitas!$A$10:$A$11,0))*INDEX(Probabilitas!$C$16:$C$22,MATCH(E26,Probabilitas!$A$16:$A$22,0))*INDEX(Probabilitas!$C$27:$C$28,MATCH(F26,Probabilitas!$A$27:$A$28,0))</x:f>
        <x:v>0.05968519937173402</x:v>
      </x:c>
      <x:c r="I26" s="26" t="n">
        <x:f>Probabilitas!$C$5*INDEX(Probabilitas!$E$10:$E$11,MATCH(D26,Probabilitas!$A$10:$A$11,0))*INDEX(Probabilitas!$E$16:$E$22,MATCH(E26,Probabilitas!$A$16:$A$22,0))*INDEX(Probabilitas!$E$27:$E$28,MATCH(F26,Probabilitas!$A$27:$A$28,0))</x:f>
        <x:v>0.000004548037824451806</x:v>
      </x:c>
      <x:c r="J26" s="26" t="n">
        <x:f>IFERROR(H26/(H26+I26),0)</x:f>
        <x:v>0.9999238053766044</x:v>
      </x:c>
      <x:c r="K26" s="26" t="n">
        <x:f>IFERROR(I26/(H26+I26),0)</x:f>
        <x:v>0.00007619462339563364</x:v>
      </x:c>
      <x:c r="L26" s="24" t="str">
        <x:f>IF(J26&gt;=K26,"Minat","Tidak minat")</x:f>
        <x:v>Minat</x:v>
      </x:c>
      <x:c r="M26" s="24" t="str">
        <x:f>IF(L26=G26,"Sesuai label latih","Berbeda dari label latih")</x:f>
        <x:v>Sesuai label latih</x:v>
      </x:c>
    </x:row>
    <x:row r="27">
      <x:c r="A27" s="24" t="n">
        <x:v>26</x:v>
      </x:c>
      <x:c r="B27" s="24" t="str">
        <x:v>MP1-L-026</x:v>
      </x:c>
      <x:c r="C27" s="24" t="str">
        <x:v>Siswa MP1 L-026</x:v>
      </x:c>
      <x:c r="D27" s="24" t="str">
        <x:v>MP / Manajemen Perkantoran</x:v>
      </x:c>
      <x:c r="E27" s="24" t="str">
        <x:v>MP 1</x:v>
      </x:c>
      <x:c r="F27" s="24" t="str">
        <x:v>Laki-laki</x:v>
      </x:c>
      <x:c r="G27" s="24" t="str">
        <x:v>Minat</x:v>
      </x:c>
      <x:c r="H27" s="26" t="n">
        <x:f>Probabilitas!$C$4*INDEX(Probabilitas!$C$10:$C$11,MATCH(D27,Probabilitas!$A$10:$A$11,0))*INDEX(Probabilitas!$C$16:$C$22,MATCH(E27,Probabilitas!$A$16:$A$22,0))*INDEX(Probabilitas!$C$27:$C$28,MATCH(F27,Probabilitas!$A$27:$A$28,0))</x:f>
        <x:v>0.05968519937173402</x:v>
      </x:c>
      <x:c r="I27" s="26" t="n">
        <x:f>Probabilitas!$C$5*INDEX(Probabilitas!$E$10:$E$11,MATCH(D27,Probabilitas!$A$10:$A$11,0))*INDEX(Probabilitas!$E$16:$E$22,MATCH(E27,Probabilitas!$A$16:$A$22,0))*INDEX(Probabilitas!$E$27:$E$28,MATCH(F27,Probabilitas!$A$27:$A$28,0))</x:f>
        <x:v>0.000004548037824451806</x:v>
      </x:c>
      <x:c r="J27" s="26" t="n">
        <x:f>IFERROR(H27/(H27+I27),0)</x:f>
        <x:v>0.9999238053766044</x:v>
      </x:c>
      <x:c r="K27" s="26" t="n">
        <x:f>IFERROR(I27/(H27+I27),0)</x:f>
        <x:v>0.00007619462339563364</x:v>
      </x:c>
      <x:c r="L27" s="24" t="str">
        <x:f>IF(J27&gt;=K27,"Minat","Tidak minat")</x:f>
        <x:v>Minat</x:v>
      </x:c>
      <x:c r="M27" s="24" t="str">
        <x:f>IF(L27=G27,"Sesuai label latih","Berbeda dari label latih")</x:f>
        <x:v>Sesuai label latih</x:v>
      </x:c>
    </x:row>
    <x:row r="28">
      <x:c r="A28" s="24" t="n">
        <x:v>27</x:v>
      </x:c>
      <x:c r="B28" s="24" t="str">
        <x:v>MP1-L-027</x:v>
      </x:c>
      <x:c r="C28" s="24" t="str">
        <x:v>Siswa MP1 L-027</x:v>
      </x:c>
      <x:c r="D28" s="24" t="str">
        <x:v>MP / Manajemen Perkantoran</x:v>
      </x:c>
      <x:c r="E28" s="24" t="str">
        <x:v>MP 1</x:v>
      </x:c>
      <x:c r="F28" s="24" t="str">
        <x:v>Laki-laki</x:v>
      </x:c>
      <x:c r="G28" s="24" t="str">
        <x:v>Minat</x:v>
      </x:c>
      <x:c r="H28" s="26" t="n">
        <x:f>Probabilitas!$C$4*INDEX(Probabilitas!$C$10:$C$11,MATCH(D28,Probabilitas!$A$10:$A$11,0))*INDEX(Probabilitas!$C$16:$C$22,MATCH(E28,Probabilitas!$A$16:$A$22,0))*INDEX(Probabilitas!$C$27:$C$28,MATCH(F28,Probabilitas!$A$27:$A$28,0))</x:f>
        <x:v>0.05968519937173402</x:v>
      </x:c>
      <x:c r="I28" s="26" t="n">
        <x:f>Probabilitas!$C$5*INDEX(Probabilitas!$E$10:$E$11,MATCH(D28,Probabilitas!$A$10:$A$11,0))*INDEX(Probabilitas!$E$16:$E$22,MATCH(E28,Probabilitas!$A$16:$A$22,0))*INDEX(Probabilitas!$E$27:$E$28,MATCH(F28,Probabilitas!$A$27:$A$28,0))</x:f>
        <x:v>0.000004548037824451806</x:v>
      </x:c>
      <x:c r="J28" s="26" t="n">
        <x:f>IFERROR(H28/(H28+I28),0)</x:f>
        <x:v>0.9999238053766044</x:v>
      </x:c>
      <x:c r="K28" s="26" t="n">
        <x:f>IFERROR(I28/(H28+I28),0)</x:f>
        <x:v>0.00007619462339563364</x:v>
      </x:c>
      <x:c r="L28" s="24" t="str">
        <x:f>IF(J28&gt;=K28,"Minat","Tidak minat")</x:f>
        <x:v>Minat</x:v>
      </x:c>
      <x:c r="M28" s="24" t="str">
        <x:f>IF(L28=G28,"Sesuai label latih","Berbeda dari label latih")</x:f>
        <x:v>Sesuai label latih</x:v>
      </x:c>
    </x:row>
    <x:row r="29">
      <x:c r="A29" s="24" t="n">
        <x:v>28</x:v>
      </x:c>
      <x:c r="B29" s="24" t="str">
        <x:v>MP1-L-028</x:v>
      </x:c>
      <x:c r="C29" s="24" t="str">
        <x:v>Siswa MP1 L-028</x:v>
      </x:c>
      <x:c r="D29" s="24" t="str">
        <x:v>MP / Manajemen Perkantoran</x:v>
      </x:c>
      <x:c r="E29" s="24" t="str">
        <x:v>MP 1</x:v>
      </x:c>
      <x:c r="F29" s="24" t="str">
        <x:v>Laki-laki</x:v>
      </x:c>
      <x:c r="G29" s="24" t="str">
        <x:v>Minat</x:v>
      </x:c>
      <x:c r="H29" s="26" t="n">
        <x:f>Probabilitas!$C$4*INDEX(Probabilitas!$C$10:$C$11,MATCH(D29,Probabilitas!$A$10:$A$11,0))*INDEX(Probabilitas!$C$16:$C$22,MATCH(E29,Probabilitas!$A$16:$A$22,0))*INDEX(Probabilitas!$C$27:$C$28,MATCH(F29,Probabilitas!$A$27:$A$28,0))</x:f>
        <x:v>0.05968519937173402</x:v>
      </x:c>
      <x:c r="I29" s="26" t="n">
        <x:f>Probabilitas!$C$5*INDEX(Probabilitas!$E$10:$E$11,MATCH(D29,Probabilitas!$A$10:$A$11,0))*INDEX(Probabilitas!$E$16:$E$22,MATCH(E29,Probabilitas!$A$16:$A$22,0))*INDEX(Probabilitas!$E$27:$E$28,MATCH(F29,Probabilitas!$A$27:$A$28,0))</x:f>
        <x:v>0.000004548037824451806</x:v>
      </x:c>
      <x:c r="J29" s="26" t="n">
        <x:f>IFERROR(H29/(H29+I29),0)</x:f>
        <x:v>0.9999238053766044</x:v>
      </x:c>
      <x:c r="K29" s="26" t="n">
        <x:f>IFERROR(I29/(H29+I29),0)</x:f>
        <x:v>0.00007619462339563364</x:v>
      </x:c>
      <x:c r="L29" s="24" t="str">
        <x:f>IF(J29&gt;=K29,"Minat","Tidak minat")</x:f>
        <x:v>Minat</x:v>
      </x:c>
      <x:c r="M29" s="24" t="str">
        <x:f>IF(L29=G29,"Sesuai label latih","Berbeda dari label latih")</x:f>
        <x:v>Sesuai label latih</x:v>
      </x:c>
    </x:row>
    <x:row r="30">
      <x:c r="A30" s="24" t="n">
        <x:v>29</x:v>
      </x:c>
      <x:c r="B30" s="24" t="str">
        <x:v>MP1-L-029</x:v>
      </x:c>
      <x:c r="C30" s="24" t="str">
        <x:v>Siswa MP1 L-029</x:v>
      </x:c>
      <x:c r="D30" s="24" t="str">
        <x:v>MP / Manajemen Perkantoran</x:v>
      </x:c>
      <x:c r="E30" s="24" t="str">
        <x:v>MP 1</x:v>
      </x:c>
      <x:c r="F30" s="24" t="str">
        <x:v>Laki-laki</x:v>
      </x:c>
      <x:c r="G30" s="24" t="str">
        <x:v>Minat</x:v>
      </x:c>
      <x:c r="H30" s="26" t="n">
        <x:f>Probabilitas!$C$4*INDEX(Probabilitas!$C$10:$C$11,MATCH(D30,Probabilitas!$A$10:$A$11,0))*INDEX(Probabilitas!$C$16:$C$22,MATCH(E30,Probabilitas!$A$16:$A$22,0))*INDEX(Probabilitas!$C$27:$C$28,MATCH(F30,Probabilitas!$A$27:$A$28,0))</x:f>
        <x:v>0.05968519937173402</x:v>
      </x:c>
      <x:c r="I30" s="26" t="n">
        <x:f>Probabilitas!$C$5*INDEX(Probabilitas!$E$10:$E$11,MATCH(D30,Probabilitas!$A$10:$A$11,0))*INDEX(Probabilitas!$E$16:$E$22,MATCH(E30,Probabilitas!$A$16:$A$22,0))*INDEX(Probabilitas!$E$27:$E$28,MATCH(F30,Probabilitas!$A$27:$A$28,0))</x:f>
        <x:v>0.000004548037824451806</x:v>
      </x:c>
      <x:c r="J30" s="26" t="n">
        <x:f>IFERROR(H30/(H30+I30),0)</x:f>
        <x:v>0.9999238053766044</x:v>
      </x:c>
      <x:c r="K30" s="26" t="n">
        <x:f>IFERROR(I30/(H30+I30),0)</x:f>
        <x:v>0.00007619462339563364</x:v>
      </x:c>
      <x:c r="L30" s="24" t="str">
        <x:f>IF(J30&gt;=K30,"Minat","Tidak minat")</x:f>
        <x:v>Minat</x:v>
      </x:c>
      <x:c r="M30" s="24" t="str">
        <x:f>IF(L30=G30,"Sesuai label latih","Berbeda dari label latih")</x:f>
        <x:v>Sesuai label latih</x:v>
      </x:c>
    </x:row>
    <x:row r="31">
      <x:c r="A31" s="24" t="n">
        <x:v>30</x:v>
      </x:c>
      <x:c r="B31" s="24" t="str">
        <x:v>MP1-L-030</x:v>
      </x:c>
      <x:c r="C31" s="24" t="str">
        <x:v>Siswa MP1 L-030</x:v>
      </x:c>
      <x:c r="D31" s="24" t="str">
        <x:v>MP / Manajemen Perkantoran</x:v>
      </x:c>
      <x:c r="E31" s="24" t="str">
        <x:v>MP 1</x:v>
      </x:c>
      <x:c r="F31" s="24" t="str">
        <x:v>Laki-laki</x:v>
      </x:c>
      <x:c r="G31" s="24" t="str">
        <x:v>Minat</x:v>
      </x:c>
      <x:c r="H31" s="26" t="n">
        <x:f>Probabilitas!$C$4*INDEX(Probabilitas!$C$10:$C$11,MATCH(D31,Probabilitas!$A$10:$A$11,0))*INDEX(Probabilitas!$C$16:$C$22,MATCH(E31,Probabilitas!$A$16:$A$22,0))*INDEX(Probabilitas!$C$27:$C$28,MATCH(F31,Probabilitas!$A$27:$A$28,0))</x:f>
        <x:v>0.05968519937173402</x:v>
      </x:c>
      <x:c r="I31" s="26" t="n">
        <x:f>Probabilitas!$C$5*INDEX(Probabilitas!$E$10:$E$11,MATCH(D31,Probabilitas!$A$10:$A$11,0))*INDEX(Probabilitas!$E$16:$E$22,MATCH(E31,Probabilitas!$A$16:$A$22,0))*INDEX(Probabilitas!$E$27:$E$28,MATCH(F31,Probabilitas!$A$27:$A$28,0))</x:f>
        <x:v>0.000004548037824451806</x:v>
      </x:c>
      <x:c r="J31" s="26" t="n">
        <x:f>IFERROR(H31/(H31+I31),0)</x:f>
        <x:v>0.9999238053766044</x:v>
      </x:c>
      <x:c r="K31" s="26" t="n">
        <x:f>IFERROR(I31/(H31+I31),0)</x:f>
        <x:v>0.00007619462339563364</x:v>
      </x:c>
      <x:c r="L31" s="24" t="str">
        <x:f>IF(J31&gt;=K31,"Minat","Tidak minat")</x:f>
        <x:v>Minat</x:v>
      </x:c>
      <x:c r="M31" s="24" t="str">
        <x:f>IF(L31=G31,"Sesuai label latih","Berbeda dari label latih")</x:f>
        <x:v>Sesuai label latih</x:v>
      </x:c>
    </x:row>
    <x:row r="32">
      <x:c r="A32" s="24" t="n">
        <x:v>31</x:v>
      </x:c>
      <x:c r="B32" s="24" t="str">
        <x:v>MP1-L-031</x:v>
      </x:c>
      <x:c r="C32" s="24" t="str">
        <x:v>Siswa MP1 L-031</x:v>
      </x:c>
      <x:c r="D32" s="24" t="str">
        <x:v>MP / Manajemen Perkantoran</x:v>
      </x:c>
      <x:c r="E32" s="24" t="str">
        <x:v>MP 1</x:v>
      </x:c>
      <x:c r="F32" s="24" t="str">
        <x:v>Laki-laki</x:v>
      </x:c>
      <x:c r="G32" s="24" t="str">
        <x:v>Minat</x:v>
      </x:c>
      <x:c r="H32" s="26" t="n">
        <x:f>Probabilitas!$C$4*INDEX(Probabilitas!$C$10:$C$11,MATCH(D32,Probabilitas!$A$10:$A$11,0))*INDEX(Probabilitas!$C$16:$C$22,MATCH(E32,Probabilitas!$A$16:$A$22,0))*INDEX(Probabilitas!$C$27:$C$28,MATCH(F32,Probabilitas!$A$27:$A$28,0))</x:f>
        <x:v>0.05968519937173402</x:v>
      </x:c>
      <x:c r="I32" s="26" t="n">
        <x:f>Probabilitas!$C$5*INDEX(Probabilitas!$E$10:$E$11,MATCH(D32,Probabilitas!$A$10:$A$11,0))*INDEX(Probabilitas!$E$16:$E$22,MATCH(E32,Probabilitas!$A$16:$A$22,0))*INDEX(Probabilitas!$E$27:$E$28,MATCH(F32,Probabilitas!$A$27:$A$28,0))</x:f>
        <x:v>0.000004548037824451806</x:v>
      </x:c>
      <x:c r="J32" s="26" t="n">
        <x:f>IFERROR(H32/(H32+I32),0)</x:f>
        <x:v>0.9999238053766044</x:v>
      </x:c>
      <x:c r="K32" s="26" t="n">
        <x:f>IFERROR(I32/(H32+I32),0)</x:f>
        <x:v>0.00007619462339563364</x:v>
      </x:c>
      <x:c r="L32" s="24" t="str">
        <x:f>IF(J32&gt;=K32,"Minat","Tidak minat")</x:f>
        <x:v>Minat</x:v>
      </x:c>
      <x:c r="M32" s="24" t="str">
        <x:f>IF(L32=G32,"Sesuai label latih","Berbeda dari label latih")</x:f>
        <x:v>Sesuai label latih</x:v>
      </x:c>
    </x:row>
    <x:row r="33">
      <x:c r="A33" s="24" t="n">
        <x:v>32</x:v>
      </x:c>
      <x:c r="B33" s="24" t="str">
        <x:v>MP1-L-032</x:v>
      </x:c>
      <x:c r="C33" s="24" t="str">
        <x:v>Siswa MP1 L-032</x:v>
      </x:c>
      <x:c r="D33" s="24" t="str">
        <x:v>MP / Manajemen Perkantoran</x:v>
      </x:c>
      <x:c r="E33" s="24" t="str">
        <x:v>MP 1</x:v>
      </x:c>
      <x:c r="F33" s="24" t="str">
        <x:v>Laki-laki</x:v>
      </x:c>
      <x:c r="G33" s="24" t="str">
        <x:v>Minat</x:v>
      </x:c>
      <x:c r="H33" s="26" t="n">
        <x:f>Probabilitas!$C$4*INDEX(Probabilitas!$C$10:$C$11,MATCH(D33,Probabilitas!$A$10:$A$11,0))*INDEX(Probabilitas!$C$16:$C$22,MATCH(E33,Probabilitas!$A$16:$A$22,0))*INDEX(Probabilitas!$C$27:$C$28,MATCH(F33,Probabilitas!$A$27:$A$28,0))</x:f>
        <x:v>0.05968519937173402</x:v>
      </x:c>
      <x:c r="I33" s="26" t="n">
        <x:f>Probabilitas!$C$5*INDEX(Probabilitas!$E$10:$E$11,MATCH(D33,Probabilitas!$A$10:$A$11,0))*INDEX(Probabilitas!$E$16:$E$22,MATCH(E33,Probabilitas!$A$16:$A$22,0))*INDEX(Probabilitas!$E$27:$E$28,MATCH(F33,Probabilitas!$A$27:$A$28,0))</x:f>
        <x:v>0.000004548037824451806</x:v>
      </x:c>
      <x:c r="J33" s="26" t="n">
        <x:f>IFERROR(H33/(H33+I33),0)</x:f>
        <x:v>0.9999238053766044</x:v>
      </x:c>
      <x:c r="K33" s="26" t="n">
        <x:f>IFERROR(I33/(H33+I33),0)</x:f>
        <x:v>0.00007619462339563364</x:v>
      </x:c>
      <x:c r="L33" s="24" t="str">
        <x:f>IF(J33&gt;=K33,"Minat","Tidak minat")</x:f>
        <x:v>Minat</x:v>
      </x:c>
      <x:c r="M33" s="24" t="str">
        <x:f>IF(L33=G33,"Sesuai label latih","Berbeda dari label latih")</x:f>
        <x:v>Sesuai label latih</x:v>
      </x:c>
    </x:row>
    <x:row r="34">
      <x:c r="A34" s="24" t="n">
        <x:v>33</x:v>
      </x:c>
      <x:c r="B34" s="24" t="str">
        <x:v>MP1-L-033</x:v>
      </x:c>
      <x:c r="C34" s="24" t="str">
        <x:v>Siswa MP1 L-033</x:v>
      </x:c>
      <x:c r="D34" s="24" t="str">
        <x:v>MP / Manajemen Perkantoran</x:v>
      </x:c>
      <x:c r="E34" s="24" t="str">
        <x:v>MP 1</x:v>
      </x:c>
      <x:c r="F34" s="24" t="str">
        <x:v>Laki-laki</x:v>
      </x:c>
      <x:c r="G34" s="24" t="str">
        <x:v>Minat</x:v>
      </x:c>
      <x:c r="H34" s="26" t="n">
        <x:f>Probabilitas!$C$4*INDEX(Probabilitas!$C$10:$C$11,MATCH(D34,Probabilitas!$A$10:$A$11,0))*INDEX(Probabilitas!$C$16:$C$22,MATCH(E34,Probabilitas!$A$16:$A$22,0))*INDEX(Probabilitas!$C$27:$C$28,MATCH(F34,Probabilitas!$A$27:$A$28,0))</x:f>
        <x:v>0.05968519937173402</x:v>
      </x:c>
      <x:c r="I34" s="26" t="n">
        <x:f>Probabilitas!$C$5*INDEX(Probabilitas!$E$10:$E$11,MATCH(D34,Probabilitas!$A$10:$A$11,0))*INDEX(Probabilitas!$E$16:$E$22,MATCH(E34,Probabilitas!$A$16:$A$22,0))*INDEX(Probabilitas!$E$27:$E$28,MATCH(F34,Probabilitas!$A$27:$A$28,0))</x:f>
        <x:v>0.000004548037824451806</x:v>
      </x:c>
      <x:c r="J34" s="26" t="n">
        <x:f>IFERROR(H34/(H34+I34),0)</x:f>
        <x:v>0.9999238053766044</x:v>
      </x:c>
      <x:c r="K34" s="26" t="n">
        <x:f>IFERROR(I34/(H34+I34),0)</x:f>
        <x:v>0.00007619462339563364</x:v>
      </x:c>
      <x:c r="L34" s="24" t="str">
        <x:f>IF(J34&gt;=K34,"Minat","Tidak minat")</x:f>
        <x:v>Minat</x:v>
      </x:c>
      <x:c r="M34" s="24" t="str">
        <x:f>IF(L34=G34,"Sesuai label latih","Berbeda dari label latih")</x:f>
        <x:v>Sesuai label latih</x:v>
      </x:c>
    </x:row>
    <x:row r="35">
      <x:c r="A35" s="24" t="n">
        <x:v>34</x:v>
      </x:c>
      <x:c r="B35" s="24" t="str">
        <x:v>MP1-L-034</x:v>
      </x:c>
      <x:c r="C35" s="24" t="str">
        <x:v>Siswa MP1 L-034</x:v>
      </x:c>
      <x:c r="D35" s="24" t="str">
        <x:v>MP / Manajemen Perkantoran</x:v>
      </x:c>
      <x:c r="E35" s="24" t="str">
        <x:v>MP 1</x:v>
      </x:c>
      <x:c r="F35" s="24" t="str">
        <x:v>Laki-laki</x:v>
      </x:c>
      <x:c r="G35" s="24" t="str">
        <x:v>Minat</x:v>
      </x:c>
      <x:c r="H35" s="26" t="n">
        <x:f>Probabilitas!$C$4*INDEX(Probabilitas!$C$10:$C$11,MATCH(D35,Probabilitas!$A$10:$A$11,0))*INDEX(Probabilitas!$C$16:$C$22,MATCH(E35,Probabilitas!$A$16:$A$22,0))*INDEX(Probabilitas!$C$27:$C$28,MATCH(F35,Probabilitas!$A$27:$A$28,0))</x:f>
        <x:v>0.05968519937173402</x:v>
      </x:c>
      <x:c r="I35" s="26" t="n">
        <x:f>Probabilitas!$C$5*INDEX(Probabilitas!$E$10:$E$11,MATCH(D35,Probabilitas!$A$10:$A$11,0))*INDEX(Probabilitas!$E$16:$E$22,MATCH(E35,Probabilitas!$A$16:$A$22,0))*INDEX(Probabilitas!$E$27:$E$28,MATCH(F35,Probabilitas!$A$27:$A$28,0))</x:f>
        <x:v>0.000004548037824451806</x:v>
      </x:c>
      <x:c r="J35" s="26" t="n">
        <x:f>IFERROR(H35/(H35+I35),0)</x:f>
        <x:v>0.9999238053766044</x:v>
      </x:c>
      <x:c r="K35" s="26" t="n">
        <x:f>IFERROR(I35/(H35+I35),0)</x:f>
        <x:v>0.00007619462339563364</x:v>
      </x:c>
      <x:c r="L35" s="24" t="str">
        <x:f>IF(J35&gt;=K35,"Minat","Tidak minat")</x:f>
        <x:v>Minat</x:v>
      </x:c>
      <x:c r="M35" s="24" t="str">
        <x:f>IF(L35=G35,"Sesuai label latih","Berbeda dari label latih")</x:f>
        <x:v>Sesuai label latih</x:v>
      </x:c>
    </x:row>
    <x:row r="36">
      <x:c r="A36" s="24" t="n">
        <x:v>35</x:v>
      </x:c>
      <x:c r="B36" s="24" t="str">
        <x:v>MP1-L-035</x:v>
      </x:c>
      <x:c r="C36" s="24" t="str">
        <x:v>Siswa MP1 L-035</x:v>
      </x:c>
      <x:c r="D36" s="24" t="str">
        <x:v>MP / Manajemen Perkantoran</x:v>
      </x:c>
      <x:c r="E36" s="24" t="str">
        <x:v>MP 1</x:v>
      </x:c>
      <x:c r="F36" s="24" t="str">
        <x:v>Laki-laki</x:v>
      </x:c>
      <x:c r="G36" s="24" t="str">
        <x:v>Minat</x:v>
      </x:c>
      <x:c r="H36" s="26" t="n">
        <x:f>Probabilitas!$C$4*INDEX(Probabilitas!$C$10:$C$11,MATCH(D36,Probabilitas!$A$10:$A$11,0))*INDEX(Probabilitas!$C$16:$C$22,MATCH(E36,Probabilitas!$A$16:$A$22,0))*INDEX(Probabilitas!$C$27:$C$28,MATCH(F36,Probabilitas!$A$27:$A$28,0))</x:f>
        <x:v>0.05968519937173402</x:v>
      </x:c>
      <x:c r="I36" s="26" t="n">
        <x:f>Probabilitas!$C$5*INDEX(Probabilitas!$E$10:$E$11,MATCH(D36,Probabilitas!$A$10:$A$11,0))*INDEX(Probabilitas!$E$16:$E$22,MATCH(E36,Probabilitas!$A$16:$A$22,0))*INDEX(Probabilitas!$E$27:$E$28,MATCH(F36,Probabilitas!$A$27:$A$28,0))</x:f>
        <x:v>0.000004548037824451806</x:v>
      </x:c>
      <x:c r="J36" s="26" t="n">
        <x:f>IFERROR(H36/(H36+I36),0)</x:f>
        <x:v>0.9999238053766044</x:v>
      </x:c>
      <x:c r="K36" s="26" t="n">
        <x:f>IFERROR(I36/(H36+I36),0)</x:f>
        <x:v>0.00007619462339563364</x:v>
      </x:c>
      <x:c r="L36" s="24" t="str">
        <x:f>IF(J36&gt;=K36,"Minat","Tidak minat")</x:f>
        <x:v>Minat</x:v>
      </x:c>
      <x:c r="M36" s="24" t="str">
        <x:f>IF(L36=G36,"Sesuai label latih","Berbeda dari label latih")</x:f>
        <x:v>Sesuai label latih</x:v>
      </x:c>
    </x:row>
    <x:row r="37">
      <x:c r="A37" s="24" t="n">
        <x:v>36</x:v>
      </x:c>
      <x:c r="B37" s="24" t="str">
        <x:v>MP1-P-001</x:v>
      </x:c>
      <x:c r="C37" s="24" t="str">
        <x:v>Siswa MP1 P-001</x:v>
      </x:c>
      <x:c r="D37" s="24" t="str">
        <x:v>MP / Manajemen Perkantoran</x:v>
      </x:c>
      <x:c r="E37" s="24" t="str">
        <x:v>MP 1</x:v>
      </x:c>
      <x:c r="F37" s="24" t="str">
        <x:v>Perempuan</x:v>
      </x:c>
      <x:c r="G37" s="24" t="str">
        <x:v>Minat</x:v>
      </x:c>
      <x:c r="H37" s="26" t="n">
        <x:f>Probabilitas!$C$4*INDEX(Probabilitas!$C$10:$C$11,MATCH(D37,Probabilitas!$A$10:$A$11,0))*INDEX(Probabilitas!$C$16:$C$22,MATCH(E37,Probabilitas!$A$16:$A$22,0))*INDEX(Probabilitas!$C$27:$C$28,MATCH(F37,Probabilitas!$A$27:$A$28,0))</x:f>
        <x:v>0.05796351092831862</x:v>
      </x:c>
      <x:c r="I37" s="26" t="n">
        <x:f>Probabilitas!$C$5*INDEX(Probabilitas!$E$10:$E$11,MATCH(D37,Probabilitas!$A$10:$A$11,0))*INDEX(Probabilitas!$E$16:$E$22,MATCH(E37,Probabilitas!$A$16:$A$22,0))*INDEX(Probabilitas!$E$27:$E$28,MATCH(F37,Probabilitas!$A$27:$A$28,0))</x:f>
        <x:v>4.198188761032436e-7</x:v>
      </x:c>
      <x:c r="J37" s="26" t="n">
        <x:f>IFERROR(H37/(H37+I37),0)</x:f>
        <x:v>0.999992757239361</x:v>
      </x:c>
      <x:c r="K37" s="26" t="n">
        <x:f>IFERROR(I37/(H37+I37),0)</x:f>
        <x:v>0.000007242760639099024</x:v>
      </x:c>
      <x:c r="L37" s="24" t="str">
        <x:f>IF(J37&gt;=K37,"Minat","Tidak minat")</x:f>
        <x:v>Minat</x:v>
      </x:c>
      <x:c r="M37" s="24" t="str">
        <x:f>IF(L37=G37,"Sesuai label latih","Berbeda dari label latih")</x:f>
        <x:v>Sesuai label latih</x:v>
      </x:c>
    </x:row>
    <x:row r="38">
      <x:c r="A38" s="24" t="n">
        <x:v>37</x:v>
      </x:c>
      <x:c r="B38" s="24" t="str">
        <x:v>MP1-P-002</x:v>
      </x:c>
      <x:c r="C38" s="24" t="str">
        <x:v>Siswa MP1 P-002</x:v>
      </x:c>
      <x:c r="D38" s="24" t="str">
        <x:v>MP / Manajemen Perkantoran</x:v>
      </x:c>
      <x:c r="E38" s="24" t="str">
        <x:v>MP 1</x:v>
      </x:c>
      <x:c r="F38" s="24" t="str">
        <x:v>Perempuan</x:v>
      </x:c>
      <x:c r="G38" s="24" t="str">
        <x:v>Minat</x:v>
      </x:c>
      <x:c r="H38" s="26" t="n">
        <x:f>Probabilitas!$C$4*INDEX(Probabilitas!$C$10:$C$11,MATCH(D38,Probabilitas!$A$10:$A$11,0))*INDEX(Probabilitas!$C$16:$C$22,MATCH(E38,Probabilitas!$A$16:$A$22,0))*INDEX(Probabilitas!$C$27:$C$28,MATCH(F38,Probabilitas!$A$27:$A$28,0))</x:f>
        <x:v>0.05796351092831862</x:v>
      </x:c>
      <x:c r="I38" s="26" t="n">
        <x:f>Probabilitas!$C$5*INDEX(Probabilitas!$E$10:$E$11,MATCH(D38,Probabilitas!$A$10:$A$11,0))*INDEX(Probabilitas!$E$16:$E$22,MATCH(E38,Probabilitas!$A$16:$A$22,0))*INDEX(Probabilitas!$E$27:$E$28,MATCH(F38,Probabilitas!$A$27:$A$28,0))</x:f>
        <x:v>4.198188761032436e-7</x:v>
      </x:c>
      <x:c r="J38" s="26" t="n">
        <x:f>IFERROR(H38/(H38+I38),0)</x:f>
        <x:v>0.999992757239361</x:v>
      </x:c>
      <x:c r="K38" s="26" t="n">
        <x:f>IFERROR(I38/(H38+I38),0)</x:f>
        <x:v>0.000007242760639099024</x:v>
      </x:c>
      <x:c r="L38" s="24" t="str">
        <x:f>IF(J38&gt;=K38,"Minat","Tidak minat")</x:f>
        <x:v>Minat</x:v>
      </x:c>
      <x:c r="M38" s="24" t="str">
        <x:f>IF(L38=G38,"Sesuai label latih","Berbeda dari label latih")</x:f>
        <x:v>Sesuai label latih</x:v>
      </x:c>
    </x:row>
    <x:row r="39">
      <x:c r="A39" s="24" t="n">
        <x:v>38</x:v>
      </x:c>
      <x:c r="B39" s="24" t="str">
        <x:v>MP1-P-003</x:v>
      </x:c>
      <x:c r="C39" s="24" t="str">
        <x:v>Siswa MP1 P-003</x:v>
      </x:c>
      <x:c r="D39" s="24" t="str">
        <x:v>MP / Manajemen Perkantoran</x:v>
      </x:c>
      <x:c r="E39" s="24" t="str">
        <x:v>MP 1</x:v>
      </x:c>
      <x:c r="F39" s="24" t="str">
        <x:v>Perempuan</x:v>
      </x:c>
      <x:c r="G39" s="24" t="str">
        <x:v>Minat</x:v>
      </x:c>
      <x:c r="H39" s="26" t="n">
        <x:f>Probabilitas!$C$4*INDEX(Probabilitas!$C$10:$C$11,MATCH(D39,Probabilitas!$A$10:$A$11,0))*INDEX(Probabilitas!$C$16:$C$22,MATCH(E39,Probabilitas!$A$16:$A$22,0))*INDEX(Probabilitas!$C$27:$C$28,MATCH(F39,Probabilitas!$A$27:$A$28,0))</x:f>
        <x:v>0.05796351092831862</x:v>
      </x:c>
      <x:c r="I39" s="26" t="n">
        <x:f>Probabilitas!$C$5*INDEX(Probabilitas!$E$10:$E$11,MATCH(D39,Probabilitas!$A$10:$A$11,0))*INDEX(Probabilitas!$E$16:$E$22,MATCH(E39,Probabilitas!$A$16:$A$22,0))*INDEX(Probabilitas!$E$27:$E$28,MATCH(F39,Probabilitas!$A$27:$A$28,0))</x:f>
        <x:v>4.198188761032436e-7</x:v>
      </x:c>
      <x:c r="J39" s="26" t="n">
        <x:f>IFERROR(H39/(H39+I39),0)</x:f>
        <x:v>0.999992757239361</x:v>
      </x:c>
      <x:c r="K39" s="26" t="n">
        <x:f>IFERROR(I39/(H39+I39),0)</x:f>
        <x:v>0.000007242760639099024</x:v>
      </x:c>
      <x:c r="L39" s="24" t="str">
        <x:f>IF(J39&gt;=K39,"Minat","Tidak minat")</x:f>
        <x:v>Minat</x:v>
      </x:c>
      <x:c r="M39" s="24" t="str">
        <x:f>IF(L39=G39,"Sesuai label latih","Berbeda dari label latih")</x:f>
        <x:v>Sesuai label latih</x:v>
      </x:c>
    </x:row>
    <x:row r="40">
      <x:c r="A40" s="24" t="n">
        <x:v>39</x:v>
      </x:c>
      <x:c r="B40" s="24" t="str">
        <x:v>MP1-P-004</x:v>
      </x:c>
      <x:c r="C40" s="24" t="str">
        <x:v>Siswa MP1 P-004</x:v>
      </x:c>
      <x:c r="D40" s="24" t="str">
        <x:v>MP / Manajemen Perkantoran</x:v>
      </x:c>
      <x:c r="E40" s="24" t="str">
        <x:v>MP 1</x:v>
      </x:c>
      <x:c r="F40" s="24" t="str">
        <x:v>Perempuan</x:v>
      </x:c>
      <x:c r="G40" s="24" t="str">
        <x:v>Minat</x:v>
      </x:c>
      <x:c r="H40" s="26" t="n">
        <x:f>Probabilitas!$C$4*INDEX(Probabilitas!$C$10:$C$11,MATCH(D40,Probabilitas!$A$10:$A$11,0))*INDEX(Probabilitas!$C$16:$C$22,MATCH(E40,Probabilitas!$A$16:$A$22,0))*INDEX(Probabilitas!$C$27:$C$28,MATCH(F40,Probabilitas!$A$27:$A$28,0))</x:f>
        <x:v>0.05796351092831862</x:v>
      </x:c>
      <x:c r="I40" s="26" t="n">
        <x:f>Probabilitas!$C$5*INDEX(Probabilitas!$E$10:$E$11,MATCH(D40,Probabilitas!$A$10:$A$11,0))*INDEX(Probabilitas!$E$16:$E$22,MATCH(E40,Probabilitas!$A$16:$A$22,0))*INDEX(Probabilitas!$E$27:$E$28,MATCH(F40,Probabilitas!$A$27:$A$28,0))</x:f>
        <x:v>4.198188761032436e-7</x:v>
      </x:c>
      <x:c r="J40" s="26" t="n">
        <x:f>IFERROR(H40/(H40+I40),0)</x:f>
        <x:v>0.999992757239361</x:v>
      </x:c>
      <x:c r="K40" s="26" t="n">
        <x:f>IFERROR(I40/(H40+I40),0)</x:f>
        <x:v>0.000007242760639099024</x:v>
      </x:c>
      <x:c r="L40" s="24" t="str">
        <x:f>IF(J40&gt;=K40,"Minat","Tidak minat")</x:f>
        <x:v>Minat</x:v>
      </x:c>
      <x:c r="M40" s="24" t="str">
        <x:f>IF(L40=G40,"Sesuai label latih","Berbeda dari label latih")</x:f>
        <x:v>Sesuai label latih</x:v>
      </x:c>
    </x:row>
    <x:row r="41">
      <x:c r="A41" s="24" t="n">
        <x:v>40</x:v>
      </x:c>
      <x:c r="B41" s="24" t="str">
        <x:v>MP1-P-005</x:v>
      </x:c>
      <x:c r="C41" s="24" t="str">
        <x:v>Siswa MP1 P-005</x:v>
      </x:c>
      <x:c r="D41" s="24" t="str">
        <x:v>MP / Manajemen Perkantoran</x:v>
      </x:c>
      <x:c r="E41" s="24" t="str">
        <x:v>MP 1</x:v>
      </x:c>
      <x:c r="F41" s="24" t="str">
        <x:v>Perempuan</x:v>
      </x:c>
      <x:c r="G41" s="24" t="str">
        <x:v>Minat</x:v>
      </x:c>
      <x:c r="H41" s="26" t="n">
        <x:f>Probabilitas!$C$4*INDEX(Probabilitas!$C$10:$C$11,MATCH(D41,Probabilitas!$A$10:$A$11,0))*INDEX(Probabilitas!$C$16:$C$22,MATCH(E41,Probabilitas!$A$16:$A$22,0))*INDEX(Probabilitas!$C$27:$C$28,MATCH(F41,Probabilitas!$A$27:$A$28,0))</x:f>
        <x:v>0.05796351092831862</x:v>
      </x:c>
      <x:c r="I41" s="26" t="n">
        <x:f>Probabilitas!$C$5*INDEX(Probabilitas!$E$10:$E$11,MATCH(D41,Probabilitas!$A$10:$A$11,0))*INDEX(Probabilitas!$E$16:$E$22,MATCH(E41,Probabilitas!$A$16:$A$22,0))*INDEX(Probabilitas!$E$27:$E$28,MATCH(F41,Probabilitas!$A$27:$A$28,0))</x:f>
        <x:v>4.198188761032436e-7</x:v>
      </x:c>
      <x:c r="J41" s="26" t="n">
        <x:f>IFERROR(H41/(H41+I41),0)</x:f>
        <x:v>0.999992757239361</x:v>
      </x:c>
      <x:c r="K41" s="26" t="n">
        <x:f>IFERROR(I41/(H41+I41),0)</x:f>
        <x:v>0.000007242760639099024</x:v>
      </x:c>
      <x:c r="L41" s="24" t="str">
        <x:f>IF(J41&gt;=K41,"Minat","Tidak minat")</x:f>
        <x:v>Minat</x:v>
      </x:c>
      <x:c r="M41" s="24" t="str">
        <x:f>IF(L41=G41,"Sesuai label latih","Berbeda dari label latih")</x:f>
        <x:v>Sesuai label latih</x:v>
      </x:c>
    </x:row>
    <x:row r="42">
      <x:c r="A42" s="24" t="n">
        <x:v>41</x:v>
      </x:c>
      <x:c r="B42" s="24" t="str">
        <x:v>MP1-P-006</x:v>
      </x:c>
      <x:c r="C42" s="24" t="str">
        <x:v>Siswa MP1 P-006</x:v>
      </x:c>
      <x:c r="D42" s="24" t="str">
        <x:v>MP / Manajemen Perkantoran</x:v>
      </x:c>
      <x:c r="E42" s="24" t="str">
        <x:v>MP 1</x:v>
      </x:c>
      <x:c r="F42" s="24" t="str">
        <x:v>Perempuan</x:v>
      </x:c>
      <x:c r="G42" s="24" t="str">
        <x:v>Minat</x:v>
      </x:c>
      <x:c r="H42" s="26" t="n">
        <x:f>Probabilitas!$C$4*INDEX(Probabilitas!$C$10:$C$11,MATCH(D42,Probabilitas!$A$10:$A$11,0))*INDEX(Probabilitas!$C$16:$C$22,MATCH(E42,Probabilitas!$A$16:$A$22,0))*INDEX(Probabilitas!$C$27:$C$28,MATCH(F42,Probabilitas!$A$27:$A$28,0))</x:f>
        <x:v>0.05796351092831862</x:v>
      </x:c>
      <x:c r="I42" s="26" t="n">
        <x:f>Probabilitas!$C$5*INDEX(Probabilitas!$E$10:$E$11,MATCH(D42,Probabilitas!$A$10:$A$11,0))*INDEX(Probabilitas!$E$16:$E$22,MATCH(E42,Probabilitas!$A$16:$A$22,0))*INDEX(Probabilitas!$E$27:$E$28,MATCH(F42,Probabilitas!$A$27:$A$28,0))</x:f>
        <x:v>4.198188761032436e-7</x:v>
      </x:c>
      <x:c r="J42" s="26" t="n">
        <x:f>IFERROR(H42/(H42+I42),0)</x:f>
        <x:v>0.999992757239361</x:v>
      </x:c>
      <x:c r="K42" s="26" t="n">
        <x:f>IFERROR(I42/(H42+I42),0)</x:f>
        <x:v>0.000007242760639099024</x:v>
      </x:c>
      <x:c r="L42" s="24" t="str">
        <x:f>IF(J42&gt;=K42,"Minat","Tidak minat")</x:f>
        <x:v>Minat</x:v>
      </x:c>
      <x:c r="M42" s="24" t="str">
        <x:f>IF(L42=G42,"Sesuai label latih","Berbeda dari label latih")</x:f>
        <x:v>Sesuai label latih</x:v>
      </x:c>
    </x:row>
    <x:row r="43">
      <x:c r="A43" s="24" t="n">
        <x:v>42</x:v>
      </x:c>
      <x:c r="B43" s="24" t="str">
        <x:v>MP1-P-007</x:v>
      </x:c>
      <x:c r="C43" s="24" t="str">
        <x:v>Siswa MP1 P-007</x:v>
      </x:c>
      <x:c r="D43" s="24" t="str">
        <x:v>MP / Manajemen Perkantoran</x:v>
      </x:c>
      <x:c r="E43" s="24" t="str">
        <x:v>MP 1</x:v>
      </x:c>
      <x:c r="F43" s="24" t="str">
        <x:v>Perempuan</x:v>
      </x:c>
      <x:c r="G43" s="24" t="str">
        <x:v>Minat</x:v>
      </x:c>
      <x:c r="H43" s="26" t="n">
        <x:f>Probabilitas!$C$4*INDEX(Probabilitas!$C$10:$C$11,MATCH(D43,Probabilitas!$A$10:$A$11,0))*INDEX(Probabilitas!$C$16:$C$22,MATCH(E43,Probabilitas!$A$16:$A$22,0))*INDEX(Probabilitas!$C$27:$C$28,MATCH(F43,Probabilitas!$A$27:$A$28,0))</x:f>
        <x:v>0.05796351092831862</x:v>
      </x:c>
      <x:c r="I43" s="26" t="n">
        <x:f>Probabilitas!$C$5*INDEX(Probabilitas!$E$10:$E$11,MATCH(D43,Probabilitas!$A$10:$A$11,0))*INDEX(Probabilitas!$E$16:$E$22,MATCH(E43,Probabilitas!$A$16:$A$22,0))*INDEX(Probabilitas!$E$27:$E$28,MATCH(F43,Probabilitas!$A$27:$A$28,0))</x:f>
        <x:v>4.198188761032436e-7</x:v>
      </x:c>
      <x:c r="J43" s="26" t="n">
        <x:f>IFERROR(H43/(H43+I43),0)</x:f>
        <x:v>0.999992757239361</x:v>
      </x:c>
      <x:c r="K43" s="26" t="n">
        <x:f>IFERROR(I43/(H43+I43),0)</x:f>
        <x:v>0.000007242760639099024</x:v>
      </x:c>
      <x:c r="L43" s="24" t="str">
        <x:f>IF(J43&gt;=K43,"Minat","Tidak minat")</x:f>
        <x:v>Minat</x:v>
      </x:c>
      <x:c r="M43" s="24" t="str">
        <x:f>IF(L43=G43,"Sesuai label latih","Berbeda dari label latih")</x:f>
        <x:v>Sesuai label latih</x:v>
      </x:c>
    </x:row>
    <x:row r="44">
      <x:c r="A44" s="24" t="n">
        <x:v>43</x:v>
      </x:c>
      <x:c r="B44" s="24" t="str">
        <x:v>MP1-P-008</x:v>
      </x:c>
      <x:c r="C44" s="24" t="str">
        <x:v>Siswa MP1 P-008</x:v>
      </x:c>
      <x:c r="D44" s="24" t="str">
        <x:v>MP / Manajemen Perkantoran</x:v>
      </x:c>
      <x:c r="E44" s="24" t="str">
        <x:v>MP 1</x:v>
      </x:c>
      <x:c r="F44" s="24" t="str">
        <x:v>Perempuan</x:v>
      </x:c>
      <x:c r="G44" s="24" t="str">
        <x:v>Minat</x:v>
      </x:c>
      <x:c r="H44" s="26" t="n">
        <x:f>Probabilitas!$C$4*INDEX(Probabilitas!$C$10:$C$11,MATCH(D44,Probabilitas!$A$10:$A$11,0))*INDEX(Probabilitas!$C$16:$C$22,MATCH(E44,Probabilitas!$A$16:$A$22,0))*INDEX(Probabilitas!$C$27:$C$28,MATCH(F44,Probabilitas!$A$27:$A$28,0))</x:f>
        <x:v>0.05796351092831862</x:v>
      </x:c>
      <x:c r="I44" s="26" t="n">
        <x:f>Probabilitas!$C$5*INDEX(Probabilitas!$E$10:$E$11,MATCH(D44,Probabilitas!$A$10:$A$11,0))*INDEX(Probabilitas!$E$16:$E$22,MATCH(E44,Probabilitas!$A$16:$A$22,0))*INDEX(Probabilitas!$E$27:$E$28,MATCH(F44,Probabilitas!$A$27:$A$28,0))</x:f>
        <x:v>4.198188761032436e-7</x:v>
      </x:c>
      <x:c r="J44" s="26" t="n">
        <x:f>IFERROR(H44/(H44+I44),0)</x:f>
        <x:v>0.999992757239361</x:v>
      </x:c>
      <x:c r="K44" s="26" t="n">
        <x:f>IFERROR(I44/(H44+I44),0)</x:f>
        <x:v>0.000007242760639099024</x:v>
      </x:c>
      <x:c r="L44" s="24" t="str">
        <x:f>IF(J44&gt;=K44,"Minat","Tidak minat")</x:f>
        <x:v>Minat</x:v>
      </x:c>
      <x:c r="M44" s="24" t="str">
        <x:f>IF(L44=G44,"Sesuai label latih","Berbeda dari label latih")</x:f>
        <x:v>Sesuai label latih</x:v>
      </x:c>
    </x:row>
    <x:row r="45">
      <x:c r="A45" s="24" t="n">
        <x:v>44</x:v>
      </x:c>
      <x:c r="B45" s="24" t="str">
        <x:v>MP1-P-009</x:v>
      </x:c>
      <x:c r="C45" s="24" t="str">
        <x:v>Siswa MP1 P-009</x:v>
      </x:c>
      <x:c r="D45" s="24" t="str">
        <x:v>MP / Manajemen Perkantoran</x:v>
      </x:c>
      <x:c r="E45" s="24" t="str">
        <x:v>MP 1</x:v>
      </x:c>
      <x:c r="F45" s="24" t="str">
        <x:v>Perempuan</x:v>
      </x:c>
      <x:c r="G45" s="24" t="str">
        <x:v>Minat</x:v>
      </x:c>
      <x:c r="H45" s="26" t="n">
        <x:f>Probabilitas!$C$4*INDEX(Probabilitas!$C$10:$C$11,MATCH(D45,Probabilitas!$A$10:$A$11,0))*INDEX(Probabilitas!$C$16:$C$22,MATCH(E45,Probabilitas!$A$16:$A$22,0))*INDEX(Probabilitas!$C$27:$C$28,MATCH(F45,Probabilitas!$A$27:$A$28,0))</x:f>
        <x:v>0.05796351092831862</x:v>
      </x:c>
      <x:c r="I45" s="26" t="n">
        <x:f>Probabilitas!$C$5*INDEX(Probabilitas!$E$10:$E$11,MATCH(D45,Probabilitas!$A$10:$A$11,0))*INDEX(Probabilitas!$E$16:$E$22,MATCH(E45,Probabilitas!$A$16:$A$22,0))*INDEX(Probabilitas!$E$27:$E$28,MATCH(F45,Probabilitas!$A$27:$A$28,0))</x:f>
        <x:v>4.198188761032436e-7</x:v>
      </x:c>
      <x:c r="J45" s="26" t="n">
        <x:f>IFERROR(H45/(H45+I45),0)</x:f>
        <x:v>0.999992757239361</x:v>
      </x:c>
      <x:c r="K45" s="26" t="n">
        <x:f>IFERROR(I45/(H45+I45),0)</x:f>
        <x:v>0.000007242760639099024</x:v>
      </x:c>
      <x:c r="L45" s="24" t="str">
        <x:f>IF(J45&gt;=K45,"Minat","Tidak minat")</x:f>
        <x:v>Minat</x:v>
      </x:c>
      <x:c r="M45" s="24" t="str">
        <x:f>IF(L45=G45,"Sesuai label latih","Berbeda dari label latih")</x:f>
        <x:v>Sesuai label latih</x:v>
      </x:c>
    </x:row>
    <x:row r="46">
      <x:c r="A46" s="24" t="n">
        <x:v>45</x:v>
      </x:c>
      <x:c r="B46" s="24" t="str">
        <x:v>MP1-P-010</x:v>
      </x:c>
      <x:c r="C46" s="24" t="str">
        <x:v>Siswa MP1 P-010</x:v>
      </x:c>
      <x:c r="D46" s="24" t="str">
        <x:v>MP / Manajemen Perkantoran</x:v>
      </x:c>
      <x:c r="E46" s="24" t="str">
        <x:v>MP 1</x:v>
      </x:c>
      <x:c r="F46" s="24" t="str">
        <x:v>Perempuan</x:v>
      </x:c>
      <x:c r="G46" s="24" t="str">
        <x:v>Minat</x:v>
      </x:c>
      <x:c r="H46" s="26" t="n">
        <x:f>Probabilitas!$C$4*INDEX(Probabilitas!$C$10:$C$11,MATCH(D46,Probabilitas!$A$10:$A$11,0))*INDEX(Probabilitas!$C$16:$C$22,MATCH(E46,Probabilitas!$A$16:$A$22,0))*INDEX(Probabilitas!$C$27:$C$28,MATCH(F46,Probabilitas!$A$27:$A$28,0))</x:f>
        <x:v>0.05796351092831862</x:v>
      </x:c>
      <x:c r="I46" s="26" t="n">
        <x:f>Probabilitas!$C$5*INDEX(Probabilitas!$E$10:$E$11,MATCH(D46,Probabilitas!$A$10:$A$11,0))*INDEX(Probabilitas!$E$16:$E$22,MATCH(E46,Probabilitas!$A$16:$A$22,0))*INDEX(Probabilitas!$E$27:$E$28,MATCH(F46,Probabilitas!$A$27:$A$28,0))</x:f>
        <x:v>4.198188761032436e-7</x:v>
      </x:c>
      <x:c r="J46" s="26" t="n">
        <x:f>IFERROR(H46/(H46+I46),0)</x:f>
        <x:v>0.999992757239361</x:v>
      </x:c>
      <x:c r="K46" s="26" t="n">
        <x:f>IFERROR(I46/(H46+I46),0)</x:f>
        <x:v>0.000007242760639099024</x:v>
      </x:c>
      <x:c r="L46" s="24" t="str">
        <x:f>IF(J46&gt;=K46,"Minat","Tidak minat")</x:f>
        <x:v>Minat</x:v>
      </x:c>
      <x:c r="M46" s="24" t="str">
        <x:f>IF(L46=G46,"Sesuai label latih","Berbeda dari label latih")</x:f>
        <x:v>Sesuai label latih</x:v>
      </x:c>
    </x:row>
    <x:row r="47">
      <x:c r="A47" s="24" t="n">
        <x:v>46</x:v>
      </x:c>
      <x:c r="B47" s="24" t="str">
        <x:v>MP1-P-011</x:v>
      </x:c>
      <x:c r="C47" s="24" t="str">
        <x:v>Siswa MP1 P-011</x:v>
      </x:c>
      <x:c r="D47" s="24" t="str">
        <x:v>MP / Manajemen Perkantoran</x:v>
      </x:c>
      <x:c r="E47" s="24" t="str">
        <x:v>MP 1</x:v>
      </x:c>
      <x:c r="F47" s="24" t="str">
        <x:v>Perempuan</x:v>
      </x:c>
      <x:c r="G47" s="24" t="str">
        <x:v>Minat</x:v>
      </x:c>
      <x:c r="H47" s="26" t="n">
        <x:f>Probabilitas!$C$4*INDEX(Probabilitas!$C$10:$C$11,MATCH(D47,Probabilitas!$A$10:$A$11,0))*INDEX(Probabilitas!$C$16:$C$22,MATCH(E47,Probabilitas!$A$16:$A$22,0))*INDEX(Probabilitas!$C$27:$C$28,MATCH(F47,Probabilitas!$A$27:$A$28,0))</x:f>
        <x:v>0.05796351092831862</x:v>
      </x:c>
      <x:c r="I47" s="26" t="n">
        <x:f>Probabilitas!$C$5*INDEX(Probabilitas!$E$10:$E$11,MATCH(D47,Probabilitas!$A$10:$A$11,0))*INDEX(Probabilitas!$E$16:$E$22,MATCH(E47,Probabilitas!$A$16:$A$22,0))*INDEX(Probabilitas!$E$27:$E$28,MATCH(F47,Probabilitas!$A$27:$A$28,0))</x:f>
        <x:v>4.198188761032436e-7</x:v>
      </x:c>
      <x:c r="J47" s="26" t="n">
        <x:f>IFERROR(H47/(H47+I47),0)</x:f>
        <x:v>0.999992757239361</x:v>
      </x:c>
      <x:c r="K47" s="26" t="n">
        <x:f>IFERROR(I47/(H47+I47),0)</x:f>
        <x:v>0.000007242760639099024</x:v>
      </x:c>
      <x:c r="L47" s="24" t="str">
        <x:f>IF(J47&gt;=K47,"Minat","Tidak minat")</x:f>
        <x:v>Minat</x:v>
      </x:c>
      <x:c r="M47" s="24" t="str">
        <x:f>IF(L47=G47,"Sesuai label latih","Berbeda dari label latih")</x:f>
        <x:v>Sesuai label latih</x:v>
      </x:c>
    </x:row>
    <x:row r="48">
      <x:c r="A48" s="24" t="n">
        <x:v>47</x:v>
      </x:c>
      <x:c r="B48" s="24" t="str">
        <x:v>MP1-P-012</x:v>
      </x:c>
      <x:c r="C48" s="24" t="str">
        <x:v>Siswa MP1 P-012</x:v>
      </x:c>
      <x:c r="D48" s="24" t="str">
        <x:v>MP / Manajemen Perkantoran</x:v>
      </x:c>
      <x:c r="E48" s="24" t="str">
        <x:v>MP 1</x:v>
      </x:c>
      <x:c r="F48" s="24" t="str">
        <x:v>Perempuan</x:v>
      </x:c>
      <x:c r="G48" s="24" t="str">
        <x:v>Minat</x:v>
      </x:c>
      <x:c r="H48" s="26" t="n">
        <x:f>Probabilitas!$C$4*INDEX(Probabilitas!$C$10:$C$11,MATCH(D48,Probabilitas!$A$10:$A$11,0))*INDEX(Probabilitas!$C$16:$C$22,MATCH(E48,Probabilitas!$A$16:$A$22,0))*INDEX(Probabilitas!$C$27:$C$28,MATCH(F48,Probabilitas!$A$27:$A$28,0))</x:f>
        <x:v>0.05796351092831862</x:v>
      </x:c>
      <x:c r="I48" s="26" t="n">
        <x:f>Probabilitas!$C$5*INDEX(Probabilitas!$E$10:$E$11,MATCH(D48,Probabilitas!$A$10:$A$11,0))*INDEX(Probabilitas!$E$16:$E$22,MATCH(E48,Probabilitas!$A$16:$A$22,0))*INDEX(Probabilitas!$E$27:$E$28,MATCH(F48,Probabilitas!$A$27:$A$28,0))</x:f>
        <x:v>4.198188761032436e-7</x:v>
      </x:c>
      <x:c r="J48" s="26" t="n">
        <x:f>IFERROR(H48/(H48+I48),0)</x:f>
        <x:v>0.999992757239361</x:v>
      </x:c>
      <x:c r="K48" s="26" t="n">
        <x:f>IFERROR(I48/(H48+I48),0)</x:f>
        <x:v>0.000007242760639099024</x:v>
      </x:c>
      <x:c r="L48" s="24" t="str">
        <x:f>IF(J48&gt;=K48,"Minat","Tidak minat")</x:f>
        <x:v>Minat</x:v>
      </x:c>
      <x:c r="M48" s="24" t="str">
        <x:f>IF(L48=G48,"Sesuai label latih","Berbeda dari label latih")</x:f>
        <x:v>Sesuai label latih</x:v>
      </x:c>
    </x:row>
    <x:row r="49">
      <x:c r="A49" s="24" t="n">
        <x:v>48</x:v>
      </x:c>
      <x:c r="B49" s="24" t="str">
        <x:v>MP1-P-013</x:v>
      </x:c>
      <x:c r="C49" s="24" t="str">
        <x:v>Siswa MP1 P-013</x:v>
      </x:c>
      <x:c r="D49" s="24" t="str">
        <x:v>MP / Manajemen Perkantoran</x:v>
      </x:c>
      <x:c r="E49" s="24" t="str">
        <x:v>MP 1</x:v>
      </x:c>
      <x:c r="F49" s="24" t="str">
        <x:v>Perempuan</x:v>
      </x:c>
      <x:c r="G49" s="24" t="str">
        <x:v>Minat</x:v>
      </x:c>
      <x:c r="H49" s="26" t="n">
        <x:f>Probabilitas!$C$4*INDEX(Probabilitas!$C$10:$C$11,MATCH(D49,Probabilitas!$A$10:$A$11,0))*INDEX(Probabilitas!$C$16:$C$22,MATCH(E49,Probabilitas!$A$16:$A$22,0))*INDEX(Probabilitas!$C$27:$C$28,MATCH(F49,Probabilitas!$A$27:$A$28,0))</x:f>
        <x:v>0.05796351092831862</x:v>
      </x:c>
      <x:c r="I49" s="26" t="n">
        <x:f>Probabilitas!$C$5*INDEX(Probabilitas!$E$10:$E$11,MATCH(D49,Probabilitas!$A$10:$A$11,0))*INDEX(Probabilitas!$E$16:$E$22,MATCH(E49,Probabilitas!$A$16:$A$22,0))*INDEX(Probabilitas!$E$27:$E$28,MATCH(F49,Probabilitas!$A$27:$A$28,0))</x:f>
        <x:v>4.198188761032436e-7</x:v>
      </x:c>
      <x:c r="J49" s="26" t="n">
        <x:f>IFERROR(H49/(H49+I49),0)</x:f>
        <x:v>0.999992757239361</x:v>
      </x:c>
      <x:c r="K49" s="26" t="n">
        <x:f>IFERROR(I49/(H49+I49),0)</x:f>
        <x:v>0.000007242760639099024</x:v>
      </x:c>
      <x:c r="L49" s="24" t="str">
        <x:f>IF(J49&gt;=K49,"Minat","Tidak minat")</x:f>
        <x:v>Minat</x:v>
      </x:c>
      <x:c r="M49" s="24" t="str">
        <x:f>IF(L49=G49,"Sesuai label latih","Berbeda dari label latih")</x:f>
        <x:v>Sesuai label latih</x:v>
      </x:c>
    </x:row>
    <x:row r="50">
      <x:c r="A50" s="24" t="n">
        <x:v>49</x:v>
      </x:c>
      <x:c r="B50" s="24" t="str">
        <x:v>MP1-P-014</x:v>
      </x:c>
      <x:c r="C50" s="24" t="str">
        <x:v>Siswa MP1 P-014</x:v>
      </x:c>
      <x:c r="D50" s="24" t="str">
        <x:v>MP / Manajemen Perkantoran</x:v>
      </x:c>
      <x:c r="E50" s="24" t="str">
        <x:v>MP 1</x:v>
      </x:c>
      <x:c r="F50" s="24" t="str">
        <x:v>Perempuan</x:v>
      </x:c>
      <x:c r="G50" s="24" t="str">
        <x:v>Minat</x:v>
      </x:c>
      <x:c r="H50" s="26" t="n">
        <x:f>Probabilitas!$C$4*INDEX(Probabilitas!$C$10:$C$11,MATCH(D50,Probabilitas!$A$10:$A$11,0))*INDEX(Probabilitas!$C$16:$C$22,MATCH(E50,Probabilitas!$A$16:$A$22,0))*INDEX(Probabilitas!$C$27:$C$28,MATCH(F50,Probabilitas!$A$27:$A$28,0))</x:f>
        <x:v>0.05796351092831862</x:v>
      </x:c>
      <x:c r="I50" s="26" t="n">
        <x:f>Probabilitas!$C$5*INDEX(Probabilitas!$E$10:$E$11,MATCH(D50,Probabilitas!$A$10:$A$11,0))*INDEX(Probabilitas!$E$16:$E$22,MATCH(E50,Probabilitas!$A$16:$A$22,0))*INDEX(Probabilitas!$E$27:$E$28,MATCH(F50,Probabilitas!$A$27:$A$28,0))</x:f>
        <x:v>4.198188761032436e-7</x:v>
      </x:c>
      <x:c r="J50" s="26" t="n">
        <x:f>IFERROR(H50/(H50+I50),0)</x:f>
        <x:v>0.999992757239361</x:v>
      </x:c>
      <x:c r="K50" s="26" t="n">
        <x:f>IFERROR(I50/(H50+I50),0)</x:f>
        <x:v>0.000007242760639099024</x:v>
      </x:c>
      <x:c r="L50" s="24" t="str">
        <x:f>IF(J50&gt;=K50,"Minat","Tidak minat")</x:f>
        <x:v>Minat</x:v>
      </x:c>
      <x:c r="M50" s="24" t="str">
        <x:f>IF(L50=G50,"Sesuai label latih","Berbeda dari label latih")</x:f>
        <x:v>Sesuai label latih</x:v>
      </x:c>
    </x:row>
    <x:row r="51">
      <x:c r="A51" s="24" t="n">
        <x:v>50</x:v>
      </x:c>
      <x:c r="B51" s="24" t="str">
        <x:v>MP1-P-015</x:v>
      </x:c>
      <x:c r="C51" s="24" t="str">
        <x:v>Siswa MP1 P-015</x:v>
      </x:c>
      <x:c r="D51" s="24" t="str">
        <x:v>MP / Manajemen Perkantoran</x:v>
      </x:c>
      <x:c r="E51" s="24" t="str">
        <x:v>MP 1</x:v>
      </x:c>
      <x:c r="F51" s="24" t="str">
        <x:v>Perempuan</x:v>
      </x:c>
      <x:c r="G51" s="24" t="str">
        <x:v>Minat</x:v>
      </x:c>
      <x:c r="H51" s="26" t="n">
        <x:f>Probabilitas!$C$4*INDEX(Probabilitas!$C$10:$C$11,MATCH(D51,Probabilitas!$A$10:$A$11,0))*INDEX(Probabilitas!$C$16:$C$22,MATCH(E51,Probabilitas!$A$16:$A$22,0))*INDEX(Probabilitas!$C$27:$C$28,MATCH(F51,Probabilitas!$A$27:$A$28,0))</x:f>
        <x:v>0.05796351092831862</x:v>
      </x:c>
      <x:c r="I51" s="26" t="n">
        <x:f>Probabilitas!$C$5*INDEX(Probabilitas!$E$10:$E$11,MATCH(D51,Probabilitas!$A$10:$A$11,0))*INDEX(Probabilitas!$E$16:$E$22,MATCH(E51,Probabilitas!$A$16:$A$22,0))*INDEX(Probabilitas!$E$27:$E$28,MATCH(F51,Probabilitas!$A$27:$A$28,0))</x:f>
        <x:v>4.198188761032436e-7</x:v>
      </x:c>
      <x:c r="J51" s="26" t="n">
        <x:f>IFERROR(H51/(H51+I51),0)</x:f>
        <x:v>0.999992757239361</x:v>
      </x:c>
      <x:c r="K51" s="26" t="n">
        <x:f>IFERROR(I51/(H51+I51),0)</x:f>
        <x:v>0.000007242760639099024</x:v>
      </x:c>
      <x:c r="L51" s="24" t="str">
        <x:f>IF(J51&gt;=K51,"Minat","Tidak minat")</x:f>
        <x:v>Minat</x:v>
      </x:c>
      <x:c r="M51" s="24" t="str">
        <x:f>IF(L51=G51,"Sesuai label latih","Berbeda dari label latih")</x:f>
        <x:v>Sesuai label latih</x:v>
      </x:c>
    </x:row>
    <x:row r="52">
      <x:c r="A52" s="24" t="n">
        <x:v>51</x:v>
      </x:c>
      <x:c r="B52" s="24" t="str">
        <x:v>MP1-P-016</x:v>
      </x:c>
      <x:c r="C52" s="24" t="str">
        <x:v>Siswa MP1 P-016</x:v>
      </x:c>
      <x:c r="D52" s="24" t="str">
        <x:v>MP / Manajemen Perkantoran</x:v>
      </x:c>
      <x:c r="E52" s="24" t="str">
        <x:v>MP 1</x:v>
      </x:c>
      <x:c r="F52" s="24" t="str">
        <x:v>Perempuan</x:v>
      </x:c>
      <x:c r="G52" s="24" t="str">
        <x:v>Minat</x:v>
      </x:c>
      <x:c r="H52" s="26" t="n">
        <x:f>Probabilitas!$C$4*INDEX(Probabilitas!$C$10:$C$11,MATCH(D52,Probabilitas!$A$10:$A$11,0))*INDEX(Probabilitas!$C$16:$C$22,MATCH(E52,Probabilitas!$A$16:$A$22,0))*INDEX(Probabilitas!$C$27:$C$28,MATCH(F52,Probabilitas!$A$27:$A$28,0))</x:f>
        <x:v>0.05796351092831862</x:v>
      </x:c>
      <x:c r="I52" s="26" t="n">
        <x:f>Probabilitas!$C$5*INDEX(Probabilitas!$E$10:$E$11,MATCH(D52,Probabilitas!$A$10:$A$11,0))*INDEX(Probabilitas!$E$16:$E$22,MATCH(E52,Probabilitas!$A$16:$A$22,0))*INDEX(Probabilitas!$E$27:$E$28,MATCH(F52,Probabilitas!$A$27:$A$28,0))</x:f>
        <x:v>4.198188761032436e-7</x:v>
      </x:c>
      <x:c r="J52" s="26" t="n">
        <x:f>IFERROR(H52/(H52+I52),0)</x:f>
        <x:v>0.999992757239361</x:v>
      </x:c>
      <x:c r="K52" s="26" t="n">
        <x:f>IFERROR(I52/(H52+I52),0)</x:f>
        <x:v>0.000007242760639099024</x:v>
      </x:c>
      <x:c r="L52" s="24" t="str">
        <x:f>IF(J52&gt;=K52,"Minat","Tidak minat")</x:f>
        <x:v>Minat</x:v>
      </x:c>
      <x:c r="M52" s="24" t="str">
        <x:f>IF(L52=G52,"Sesuai label latih","Berbeda dari label latih")</x:f>
        <x:v>Sesuai label latih</x:v>
      </x:c>
    </x:row>
    <x:row r="53">
      <x:c r="A53" s="24" t="n">
        <x:v>52</x:v>
      </x:c>
      <x:c r="B53" s="24" t="str">
        <x:v>MP1-P-017</x:v>
      </x:c>
      <x:c r="C53" s="24" t="str">
        <x:v>Siswa MP1 P-017</x:v>
      </x:c>
      <x:c r="D53" s="24" t="str">
        <x:v>MP / Manajemen Perkantoran</x:v>
      </x:c>
      <x:c r="E53" s="24" t="str">
        <x:v>MP 1</x:v>
      </x:c>
      <x:c r="F53" s="24" t="str">
        <x:v>Perempuan</x:v>
      </x:c>
      <x:c r="G53" s="24" t="str">
        <x:v>Minat</x:v>
      </x:c>
      <x:c r="H53" s="26" t="n">
        <x:f>Probabilitas!$C$4*INDEX(Probabilitas!$C$10:$C$11,MATCH(D53,Probabilitas!$A$10:$A$11,0))*INDEX(Probabilitas!$C$16:$C$22,MATCH(E53,Probabilitas!$A$16:$A$22,0))*INDEX(Probabilitas!$C$27:$C$28,MATCH(F53,Probabilitas!$A$27:$A$28,0))</x:f>
        <x:v>0.05796351092831862</x:v>
      </x:c>
      <x:c r="I53" s="26" t="n">
        <x:f>Probabilitas!$C$5*INDEX(Probabilitas!$E$10:$E$11,MATCH(D53,Probabilitas!$A$10:$A$11,0))*INDEX(Probabilitas!$E$16:$E$22,MATCH(E53,Probabilitas!$A$16:$A$22,0))*INDEX(Probabilitas!$E$27:$E$28,MATCH(F53,Probabilitas!$A$27:$A$28,0))</x:f>
        <x:v>4.198188761032436e-7</x:v>
      </x:c>
      <x:c r="J53" s="26" t="n">
        <x:f>IFERROR(H53/(H53+I53),0)</x:f>
        <x:v>0.999992757239361</x:v>
      </x:c>
      <x:c r="K53" s="26" t="n">
        <x:f>IFERROR(I53/(H53+I53),0)</x:f>
        <x:v>0.000007242760639099024</x:v>
      </x:c>
      <x:c r="L53" s="24" t="str">
        <x:f>IF(J53&gt;=K53,"Minat","Tidak minat")</x:f>
        <x:v>Minat</x:v>
      </x:c>
      <x:c r="M53" s="24" t="str">
        <x:f>IF(L53=G53,"Sesuai label latih","Berbeda dari label latih")</x:f>
        <x:v>Sesuai label latih</x:v>
      </x:c>
    </x:row>
    <x:row r="54">
      <x:c r="A54" s="24" t="n">
        <x:v>53</x:v>
      </x:c>
      <x:c r="B54" s="24" t="str">
        <x:v>MP1-P-018</x:v>
      </x:c>
      <x:c r="C54" s="24" t="str">
        <x:v>Siswa MP1 P-018</x:v>
      </x:c>
      <x:c r="D54" s="24" t="str">
        <x:v>MP / Manajemen Perkantoran</x:v>
      </x:c>
      <x:c r="E54" s="24" t="str">
        <x:v>MP 1</x:v>
      </x:c>
      <x:c r="F54" s="24" t="str">
        <x:v>Perempuan</x:v>
      </x:c>
      <x:c r="G54" s="24" t="str">
        <x:v>Minat</x:v>
      </x:c>
      <x:c r="H54" s="26" t="n">
        <x:f>Probabilitas!$C$4*INDEX(Probabilitas!$C$10:$C$11,MATCH(D54,Probabilitas!$A$10:$A$11,0))*INDEX(Probabilitas!$C$16:$C$22,MATCH(E54,Probabilitas!$A$16:$A$22,0))*INDEX(Probabilitas!$C$27:$C$28,MATCH(F54,Probabilitas!$A$27:$A$28,0))</x:f>
        <x:v>0.05796351092831862</x:v>
      </x:c>
      <x:c r="I54" s="26" t="n">
        <x:f>Probabilitas!$C$5*INDEX(Probabilitas!$E$10:$E$11,MATCH(D54,Probabilitas!$A$10:$A$11,0))*INDEX(Probabilitas!$E$16:$E$22,MATCH(E54,Probabilitas!$A$16:$A$22,0))*INDEX(Probabilitas!$E$27:$E$28,MATCH(F54,Probabilitas!$A$27:$A$28,0))</x:f>
        <x:v>4.198188761032436e-7</x:v>
      </x:c>
      <x:c r="J54" s="26" t="n">
        <x:f>IFERROR(H54/(H54+I54),0)</x:f>
        <x:v>0.999992757239361</x:v>
      </x:c>
      <x:c r="K54" s="26" t="n">
        <x:f>IFERROR(I54/(H54+I54),0)</x:f>
        <x:v>0.000007242760639099024</x:v>
      </x:c>
      <x:c r="L54" s="24" t="str">
        <x:f>IF(J54&gt;=K54,"Minat","Tidak minat")</x:f>
        <x:v>Minat</x:v>
      </x:c>
      <x:c r="M54" s="24" t="str">
        <x:f>IF(L54=G54,"Sesuai label latih","Berbeda dari label latih")</x:f>
        <x:v>Sesuai label latih</x:v>
      </x:c>
    </x:row>
    <x:row r="55">
      <x:c r="A55" s="24" t="n">
        <x:v>54</x:v>
      </x:c>
      <x:c r="B55" s="24" t="str">
        <x:v>MP1-P-019</x:v>
      </x:c>
      <x:c r="C55" s="24" t="str">
        <x:v>Siswa MP1 P-019</x:v>
      </x:c>
      <x:c r="D55" s="24" t="str">
        <x:v>MP / Manajemen Perkantoran</x:v>
      </x:c>
      <x:c r="E55" s="24" t="str">
        <x:v>MP 1</x:v>
      </x:c>
      <x:c r="F55" s="24" t="str">
        <x:v>Perempuan</x:v>
      </x:c>
      <x:c r="G55" s="24" t="str">
        <x:v>Minat</x:v>
      </x:c>
      <x:c r="H55" s="26" t="n">
        <x:f>Probabilitas!$C$4*INDEX(Probabilitas!$C$10:$C$11,MATCH(D55,Probabilitas!$A$10:$A$11,0))*INDEX(Probabilitas!$C$16:$C$22,MATCH(E55,Probabilitas!$A$16:$A$22,0))*INDEX(Probabilitas!$C$27:$C$28,MATCH(F55,Probabilitas!$A$27:$A$28,0))</x:f>
        <x:v>0.05796351092831862</x:v>
      </x:c>
      <x:c r="I55" s="26" t="n">
        <x:f>Probabilitas!$C$5*INDEX(Probabilitas!$E$10:$E$11,MATCH(D55,Probabilitas!$A$10:$A$11,0))*INDEX(Probabilitas!$E$16:$E$22,MATCH(E55,Probabilitas!$A$16:$A$22,0))*INDEX(Probabilitas!$E$27:$E$28,MATCH(F55,Probabilitas!$A$27:$A$28,0))</x:f>
        <x:v>4.198188761032436e-7</x:v>
      </x:c>
      <x:c r="J55" s="26" t="n">
        <x:f>IFERROR(H55/(H55+I55),0)</x:f>
        <x:v>0.999992757239361</x:v>
      </x:c>
      <x:c r="K55" s="26" t="n">
        <x:f>IFERROR(I55/(H55+I55),0)</x:f>
        <x:v>0.000007242760639099024</x:v>
      </x:c>
      <x:c r="L55" s="24" t="str">
        <x:f>IF(J55&gt;=K55,"Minat","Tidak minat")</x:f>
        <x:v>Minat</x:v>
      </x:c>
      <x:c r="M55" s="24" t="str">
        <x:f>IF(L55=G55,"Sesuai label latih","Berbeda dari label latih")</x:f>
        <x:v>Sesuai label latih</x:v>
      </x:c>
    </x:row>
    <x:row r="56">
      <x:c r="A56" s="24" t="n">
        <x:v>55</x:v>
      </x:c>
      <x:c r="B56" s="24" t="str">
        <x:v>MP1-P-020</x:v>
      </x:c>
      <x:c r="C56" s="24" t="str">
        <x:v>Siswa MP1 P-020</x:v>
      </x:c>
      <x:c r="D56" s="24" t="str">
        <x:v>MP / Manajemen Perkantoran</x:v>
      </x:c>
      <x:c r="E56" s="24" t="str">
        <x:v>MP 1</x:v>
      </x:c>
      <x:c r="F56" s="24" t="str">
        <x:v>Perempuan</x:v>
      </x:c>
      <x:c r="G56" s="24" t="str">
        <x:v>Minat</x:v>
      </x:c>
      <x:c r="H56" s="26" t="n">
        <x:f>Probabilitas!$C$4*INDEX(Probabilitas!$C$10:$C$11,MATCH(D56,Probabilitas!$A$10:$A$11,0))*INDEX(Probabilitas!$C$16:$C$22,MATCH(E56,Probabilitas!$A$16:$A$22,0))*INDEX(Probabilitas!$C$27:$C$28,MATCH(F56,Probabilitas!$A$27:$A$28,0))</x:f>
        <x:v>0.05796351092831862</x:v>
      </x:c>
      <x:c r="I56" s="26" t="n">
        <x:f>Probabilitas!$C$5*INDEX(Probabilitas!$E$10:$E$11,MATCH(D56,Probabilitas!$A$10:$A$11,0))*INDEX(Probabilitas!$E$16:$E$22,MATCH(E56,Probabilitas!$A$16:$A$22,0))*INDEX(Probabilitas!$E$27:$E$28,MATCH(F56,Probabilitas!$A$27:$A$28,0))</x:f>
        <x:v>4.198188761032436e-7</x:v>
      </x:c>
      <x:c r="J56" s="26" t="n">
        <x:f>IFERROR(H56/(H56+I56),0)</x:f>
        <x:v>0.999992757239361</x:v>
      </x:c>
      <x:c r="K56" s="26" t="n">
        <x:f>IFERROR(I56/(H56+I56),0)</x:f>
        <x:v>0.000007242760639099024</x:v>
      </x:c>
      <x:c r="L56" s="24" t="str">
        <x:f>IF(J56&gt;=K56,"Minat","Tidak minat")</x:f>
        <x:v>Minat</x:v>
      </x:c>
      <x:c r="M56" s="24" t="str">
        <x:f>IF(L56=G56,"Sesuai label latih","Berbeda dari label latih")</x:f>
        <x:v>Sesuai label latih</x:v>
      </x:c>
    </x:row>
    <x:row r="57">
      <x:c r="A57" s="24" t="n">
        <x:v>56</x:v>
      </x:c>
      <x:c r="B57" s="24" t="str">
        <x:v>MP1-P-021</x:v>
      </x:c>
      <x:c r="C57" s="24" t="str">
        <x:v>Siswa MP1 P-021</x:v>
      </x:c>
      <x:c r="D57" s="24" t="str">
        <x:v>MP / Manajemen Perkantoran</x:v>
      </x:c>
      <x:c r="E57" s="24" t="str">
        <x:v>MP 1</x:v>
      </x:c>
      <x:c r="F57" s="24" t="str">
        <x:v>Perempuan</x:v>
      </x:c>
      <x:c r="G57" s="24" t="str">
        <x:v>Minat</x:v>
      </x:c>
      <x:c r="H57" s="26" t="n">
        <x:f>Probabilitas!$C$4*INDEX(Probabilitas!$C$10:$C$11,MATCH(D57,Probabilitas!$A$10:$A$11,0))*INDEX(Probabilitas!$C$16:$C$22,MATCH(E57,Probabilitas!$A$16:$A$22,0))*INDEX(Probabilitas!$C$27:$C$28,MATCH(F57,Probabilitas!$A$27:$A$28,0))</x:f>
        <x:v>0.05796351092831862</x:v>
      </x:c>
      <x:c r="I57" s="26" t="n">
        <x:f>Probabilitas!$C$5*INDEX(Probabilitas!$E$10:$E$11,MATCH(D57,Probabilitas!$A$10:$A$11,0))*INDEX(Probabilitas!$E$16:$E$22,MATCH(E57,Probabilitas!$A$16:$A$22,0))*INDEX(Probabilitas!$E$27:$E$28,MATCH(F57,Probabilitas!$A$27:$A$28,0))</x:f>
        <x:v>4.198188761032436e-7</x:v>
      </x:c>
      <x:c r="J57" s="26" t="n">
        <x:f>IFERROR(H57/(H57+I57),0)</x:f>
        <x:v>0.999992757239361</x:v>
      </x:c>
      <x:c r="K57" s="26" t="n">
        <x:f>IFERROR(I57/(H57+I57),0)</x:f>
        <x:v>0.000007242760639099024</x:v>
      </x:c>
      <x:c r="L57" s="24" t="str">
        <x:f>IF(J57&gt;=K57,"Minat","Tidak minat")</x:f>
        <x:v>Minat</x:v>
      </x:c>
      <x:c r="M57" s="24" t="str">
        <x:f>IF(L57=G57,"Sesuai label latih","Berbeda dari label latih")</x:f>
        <x:v>Sesuai label latih</x:v>
      </x:c>
    </x:row>
    <x:row r="58">
      <x:c r="A58" s="24" t="n">
        <x:v>57</x:v>
      </x:c>
      <x:c r="B58" s="24" t="str">
        <x:v>MP1-P-022</x:v>
      </x:c>
      <x:c r="C58" s="24" t="str">
        <x:v>Siswa MP1 P-022</x:v>
      </x:c>
      <x:c r="D58" s="24" t="str">
        <x:v>MP / Manajemen Perkantoran</x:v>
      </x:c>
      <x:c r="E58" s="24" t="str">
        <x:v>MP 1</x:v>
      </x:c>
      <x:c r="F58" s="24" t="str">
        <x:v>Perempuan</x:v>
      </x:c>
      <x:c r="G58" s="24" t="str">
        <x:v>Minat</x:v>
      </x:c>
      <x:c r="H58" s="26" t="n">
        <x:f>Probabilitas!$C$4*INDEX(Probabilitas!$C$10:$C$11,MATCH(D58,Probabilitas!$A$10:$A$11,0))*INDEX(Probabilitas!$C$16:$C$22,MATCH(E58,Probabilitas!$A$16:$A$22,0))*INDEX(Probabilitas!$C$27:$C$28,MATCH(F58,Probabilitas!$A$27:$A$28,0))</x:f>
        <x:v>0.05796351092831862</x:v>
      </x:c>
      <x:c r="I58" s="26" t="n">
        <x:f>Probabilitas!$C$5*INDEX(Probabilitas!$E$10:$E$11,MATCH(D58,Probabilitas!$A$10:$A$11,0))*INDEX(Probabilitas!$E$16:$E$22,MATCH(E58,Probabilitas!$A$16:$A$22,0))*INDEX(Probabilitas!$E$27:$E$28,MATCH(F58,Probabilitas!$A$27:$A$28,0))</x:f>
        <x:v>4.198188761032436e-7</x:v>
      </x:c>
      <x:c r="J58" s="26" t="n">
        <x:f>IFERROR(H58/(H58+I58),0)</x:f>
        <x:v>0.999992757239361</x:v>
      </x:c>
      <x:c r="K58" s="26" t="n">
        <x:f>IFERROR(I58/(H58+I58),0)</x:f>
        <x:v>0.000007242760639099024</x:v>
      </x:c>
      <x:c r="L58" s="24" t="str">
        <x:f>IF(J58&gt;=K58,"Minat","Tidak minat")</x:f>
        <x:v>Minat</x:v>
      </x:c>
      <x:c r="M58" s="24" t="str">
        <x:f>IF(L58=G58,"Sesuai label latih","Berbeda dari label latih")</x:f>
        <x:v>Sesuai label latih</x:v>
      </x:c>
    </x:row>
    <x:row r="59">
      <x:c r="A59" s="24" t="n">
        <x:v>58</x:v>
      </x:c>
      <x:c r="B59" s="24" t="str">
        <x:v>MP1-P-023</x:v>
      </x:c>
      <x:c r="C59" s="24" t="str">
        <x:v>Siswa MP1 P-023</x:v>
      </x:c>
      <x:c r="D59" s="24" t="str">
        <x:v>MP / Manajemen Perkantoran</x:v>
      </x:c>
      <x:c r="E59" s="24" t="str">
        <x:v>MP 1</x:v>
      </x:c>
      <x:c r="F59" s="24" t="str">
        <x:v>Perempuan</x:v>
      </x:c>
      <x:c r="G59" s="24" t="str">
        <x:v>Minat</x:v>
      </x:c>
      <x:c r="H59" s="26" t="n">
        <x:f>Probabilitas!$C$4*INDEX(Probabilitas!$C$10:$C$11,MATCH(D59,Probabilitas!$A$10:$A$11,0))*INDEX(Probabilitas!$C$16:$C$22,MATCH(E59,Probabilitas!$A$16:$A$22,0))*INDEX(Probabilitas!$C$27:$C$28,MATCH(F59,Probabilitas!$A$27:$A$28,0))</x:f>
        <x:v>0.05796351092831862</x:v>
      </x:c>
      <x:c r="I59" s="26" t="n">
        <x:f>Probabilitas!$C$5*INDEX(Probabilitas!$E$10:$E$11,MATCH(D59,Probabilitas!$A$10:$A$11,0))*INDEX(Probabilitas!$E$16:$E$22,MATCH(E59,Probabilitas!$A$16:$A$22,0))*INDEX(Probabilitas!$E$27:$E$28,MATCH(F59,Probabilitas!$A$27:$A$28,0))</x:f>
        <x:v>4.198188761032436e-7</x:v>
      </x:c>
      <x:c r="J59" s="26" t="n">
        <x:f>IFERROR(H59/(H59+I59),0)</x:f>
        <x:v>0.999992757239361</x:v>
      </x:c>
      <x:c r="K59" s="26" t="n">
        <x:f>IFERROR(I59/(H59+I59),0)</x:f>
        <x:v>0.000007242760639099024</x:v>
      </x:c>
      <x:c r="L59" s="24" t="str">
        <x:f>IF(J59&gt;=K59,"Minat","Tidak minat")</x:f>
        <x:v>Minat</x:v>
      </x:c>
      <x:c r="M59" s="24" t="str">
        <x:f>IF(L59=G59,"Sesuai label latih","Berbeda dari label latih")</x:f>
        <x:v>Sesuai label latih</x:v>
      </x:c>
    </x:row>
    <x:row r="60">
      <x:c r="A60" s="24" t="n">
        <x:v>59</x:v>
      </x:c>
      <x:c r="B60" s="24" t="str">
        <x:v>MP1-P-024</x:v>
      </x:c>
      <x:c r="C60" s="24" t="str">
        <x:v>Siswa MP1 P-024</x:v>
      </x:c>
      <x:c r="D60" s="24" t="str">
        <x:v>MP / Manajemen Perkantoran</x:v>
      </x:c>
      <x:c r="E60" s="24" t="str">
        <x:v>MP 1</x:v>
      </x:c>
      <x:c r="F60" s="24" t="str">
        <x:v>Perempuan</x:v>
      </x:c>
      <x:c r="G60" s="24" t="str">
        <x:v>Minat</x:v>
      </x:c>
      <x:c r="H60" s="26" t="n">
        <x:f>Probabilitas!$C$4*INDEX(Probabilitas!$C$10:$C$11,MATCH(D60,Probabilitas!$A$10:$A$11,0))*INDEX(Probabilitas!$C$16:$C$22,MATCH(E60,Probabilitas!$A$16:$A$22,0))*INDEX(Probabilitas!$C$27:$C$28,MATCH(F60,Probabilitas!$A$27:$A$28,0))</x:f>
        <x:v>0.05796351092831862</x:v>
      </x:c>
      <x:c r="I60" s="26" t="n">
        <x:f>Probabilitas!$C$5*INDEX(Probabilitas!$E$10:$E$11,MATCH(D60,Probabilitas!$A$10:$A$11,0))*INDEX(Probabilitas!$E$16:$E$22,MATCH(E60,Probabilitas!$A$16:$A$22,0))*INDEX(Probabilitas!$E$27:$E$28,MATCH(F60,Probabilitas!$A$27:$A$28,0))</x:f>
        <x:v>4.198188761032436e-7</x:v>
      </x:c>
      <x:c r="J60" s="26" t="n">
        <x:f>IFERROR(H60/(H60+I60),0)</x:f>
        <x:v>0.999992757239361</x:v>
      </x:c>
      <x:c r="K60" s="26" t="n">
        <x:f>IFERROR(I60/(H60+I60),0)</x:f>
        <x:v>0.000007242760639099024</x:v>
      </x:c>
      <x:c r="L60" s="24" t="str">
        <x:f>IF(J60&gt;=K60,"Minat","Tidak minat")</x:f>
        <x:v>Minat</x:v>
      </x:c>
      <x:c r="M60" s="24" t="str">
        <x:f>IF(L60=G60,"Sesuai label latih","Berbeda dari label latih")</x:f>
        <x:v>Sesuai label latih</x:v>
      </x:c>
    </x:row>
    <x:row r="61">
      <x:c r="A61" s="24" t="n">
        <x:v>60</x:v>
      </x:c>
      <x:c r="B61" s="24" t="str">
        <x:v>MP1-P-025</x:v>
      </x:c>
      <x:c r="C61" s="24" t="str">
        <x:v>Siswa MP1 P-025</x:v>
      </x:c>
      <x:c r="D61" s="24" t="str">
        <x:v>MP / Manajemen Perkantoran</x:v>
      </x:c>
      <x:c r="E61" s="24" t="str">
        <x:v>MP 1</x:v>
      </x:c>
      <x:c r="F61" s="24" t="str">
        <x:v>Perempuan</x:v>
      </x:c>
      <x:c r="G61" s="24" t="str">
        <x:v>Minat</x:v>
      </x:c>
      <x:c r="H61" s="26" t="n">
        <x:f>Probabilitas!$C$4*INDEX(Probabilitas!$C$10:$C$11,MATCH(D61,Probabilitas!$A$10:$A$11,0))*INDEX(Probabilitas!$C$16:$C$22,MATCH(E61,Probabilitas!$A$16:$A$22,0))*INDEX(Probabilitas!$C$27:$C$28,MATCH(F61,Probabilitas!$A$27:$A$28,0))</x:f>
        <x:v>0.05796351092831862</x:v>
      </x:c>
      <x:c r="I61" s="26" t="n">
        <x:f>Probabilitas!$C$5*INDEX(Probabilitas!$E$10:$E$11,MATCH(D61,Probabilitas!$A$10:$A$11,0))*INDEX(Probabilitas!$E$16:$E$22,MATCH(E61,Probabilitas!$A$16:$A$22,0))*INDEX(Probabilitas!$E$27:$E$28,MATCH(F61,Probabilitas!$A$27:$A$28,0))</x:f>
        <x:v>4.198188761032436e-7</x:v>
      </x:c>
      <x:c r="J61" s="26" t="n">
        <x:f>IFERROR(H61/(H61+I61),0)</x:f>
        <x:v>0.999992757239361</x:v>
      </x:c>
      <x:c r="K61" s="26" t="n">
        <x:f>IFERROR(I61/(H61+I61),0)</x:f>
        <x:v>0.000007242760639099024</x:v>
      </x:c>
      <x:c r="L61" s="24" t="str">
        <x:f>IF(J61&gt;=K61,"Minat","Tidak minat")</x:f>
        <x:v>Minat</x:v>
      </x:c>
      <x:c r="M61" s="24" t="str">
        <x:f>IF(L61=G61,"Sesuai label latih","Berbeda dari label latih")</x:f>
        <x:v>Sesuai label latih</x:v>
      </x:c>
    </x:row>
    <x:row r="62">
      <x:c r="A62" s="24" t="n">
        <x:v>61</x:v>
      </x:c>
      <x:c r="B62" s="24" t="str">
        <x:v>MP1-P-026</x:v>
      </x:c>
      <x:c r="C62" s="24" t="str">
        <x:v>Siswa MP1 P-026</x:v>
      </x:c>
      <x:c r="D62" s="24" t="str">
        <x:v>MP / Manajemen Perkantoran</x:v>
      </x:c>
      <x:c r="E62" s="24" t="str">
        <x:v>MP 1</x:v>
      </x:c>
      <x:c r="F62" s="24" t="str">
        <x:v>Perempuan</x:v>
      </x:c>
      <x:c r="G62" s="24" t="str">
        <x:v>Minat</x:v>
      </x:c>
      <x:c r="H62" s="26" t="n">
        <x:f>Probabilitas!$C$4*INDEX(Probabilitas!$C$10:$C$11,MATCH(D62,Probabilitas!$A$10:$A$11,0))*INDEX(Probabilitas!$C$16:$C$22,MATCH(E62,Probabilitas!$A$16:$A$22,0))*INDEX(Probabilitas!$C$27:$C$28,MATCH(F62,Probabilitas!$A$27:$A$28,0))</x:f>
        <x:v>0.05796351092831862</x:v>
      </x:c>
      <x:c r="I62" s="26" t="n">
        <x:f>Probabilitas!$C$5*INDEX(Probabilitas!$E$10:$E$11,MATCH(D62,Probabilitas!$A$10:$A$11,0))*INDEX(Probabilitas!$E$16:$E$22,MATCH(E62,Probabilitas!$A$16:$A$22,0))*INDEX(Probabilitas!$E$27:$E$28,MATCH(F62,Probabilitas!$A$27:$A$28,0))</x:f>
        <x:v>4.198188761032436e-7</x:v>
      </x:c>
      <x:c r="J62" s="26" t="n">
        <x:f>IFERROR(H62/(H62+I62),0)</x:f>
        <x:v>0.999992757239361</x:v>
      </x:c>
      <x:c r="K62" s="26" t="n">
        <x:f>IFERROR(I62/(H62+I62),0)</x:f>
        <x:v>0.000007242760639099024</x:v>
      </x:c>
      <x:c r="L62" s="24" t="str">
        <x:f>IF(J62&gt;=K62,"Minat","Tidak minat")</x:f>
        <x:v>Minat</x:v>
      </x:c>
      <x:c r="M62" s="24" t="str">
        <x:f>IF(L62=G62,"Sesuai label latih","Berbeda dari label latih")</x:f>
        <x:v>Sesuai label latih</x:v>
      </x:c>
    </x:row>
    <x:row r="63">
      <x:c r="A63" s="24" t="n">
        <x:v>62</x:v>
      </x:c>
      <x:c r="B63" s="24" t="str">
        <x:v>MP1-P-027</x:v>
      </x:c>
      <x:c r="C63" s="24" t="str">
        <x:v>Siswa MP1 P-027</x:v>
      </x:c>
      <x:c r="D63" s="24" t="str">
        <x:v>MP / Manajemen Perkantoran</x:v>
      </x:c>
      <x:c r="E63" s="24" t="str">
        <x:v>MP 1</x:v>
      </x:c>
      <x:c r="F63" s="24" t="str">
        <x:v>Perempuan</x:v>
      </x:c>
      <x:c r="G63" s="24" t="str">
        <x:v>Minat</x:v>
      </x:c>
      <x:c r="H63" s="26" t="n">
        <x:f>Probabilitas!$C$4*INDEX(Probabilitas!$C$10:$C$11,MATCH(D63,Probabilitas!$A$10:$A$11,0))*INDEX(Probabilitas!$C$16:$C$22,MATCH(E63,Probabilitas!$A$16:$A$22,0))*INDEX(Probabilitas!$C$27:$C$28,MATCH(F63,Probabilitas!$A$27:$A$28,0))</x:f>
        <x:v>0.05796351092831862</x:v>
      </x:c>
      <x:c r="I63" s="26" t="n">
        <x:f>Probabilitas!$C$5*INDEX(Probabilitas!$E$10:$E$11,MATCH(D63,Probabilitas!$A$10:$A$11,0))*INDEX(Probabilitas!$E$16:$E$22,MATCH(E63,Probabilitas!$A$16:$A$22,0))*INDEX(Probabilitas!$E$27:$E$28,MATCH(F63,Probabilitas!$A$27:$A$28,0))</x:f>
        <x:v>4.198188761032436e-7</x:v>
      </x:c>
      <x:c r="J63" s="26" t="n">
        <x:f>IFERROR(H63/(H63+I63),0)</x:f>
        <x:v>0.999992757239361</x:v>
      </x:c>
      <x:c r="K63" s="26" t="n">
        <x:f>IFERROR(I63/(H63+I63),0)</x:f>
        <x:v>0.000007242760639099024</x:v>
      </x:c>
      <x:c r="L63" s="24" t="str">
        <x:f>IF(J63&gt;=K63,"Minat","Tidak minat")</x:f>
        <x:v>Minat</x:v>
      </x:c>
      <x:c r="M63" s="24" t="str">
        <x:f>IF(L63=G63,"Sesuai label latih","Berbeda dari label latih")</x:f>
        <x:v>Sesuai label latih</x:v>
      </x:c>
    </x:row>
    <x:row r="64">
      <x:c r="A64" s="24" t="n">
        <x:v>63</x:v>
      </x:c>
      <x:c r="B64" s="24" t="str">
        <x:v>MP1-P-028</x:v>
      </x:c>
      <x:c r="C64" s="24" t="str">
        <x:v>Siswa MP1 P-028</x:v>
      </x:c>
      <x:c r="D64" s="24" t="str">
        <x:v>MP / Manajemen Perkantoran</x:v>
      </x:c>
      <x:c r="E64" s="24" t="str">
        <x:v>MP 1</x:v>
      </x:c>
      <x:c r="F64" s="24" t="str">
        <x:v>Perempuan</x:v>
      </x:c>
      <x:c r="G64" s="24" t="str">
        <x:v>Minat</x:v>
      </x:c>
      <x:c r="H64" s="26" t="n">
        <x:f>Probabilitas!$C$4*INDEX(Probabilitas!$C$10:$C$11,MATCH(D64,Probabilitas!$A$10:$A$11,0))*INDEX(Probabilitas!$C$16:$C$22,MATCH(E64,Probabilitas!$A$16:$A$22,0))*INDEX(Probabilitas!$C$27:$C$28,MATCH(F64,Probabilitas!$A$27:$A$28,0))</x:f>
        <x:v>0.05796351092831862</x:v>
      </x:c>
      <x:c r="I64" s="26" t="n">
        <x:f>Probabilitas!$C$5*INDEX(Probabilitas!$E$10:$E$11,MATCH(D64,Probabilitas!$A$10:$A$11,0))*INDEX(Probabilitas!$E$16:$E$22,MATCH(E64,Probabilitas!$A$16:$A$22,0))*INDEX(Probabilitas!$E$27:$E$28,MATCH(F64,Probabilitas!$A$27:$A$28,0))</x:f>
        <x:v>4.198188761032436e-7</x:v>
      </x:c>
      <x:c r="J64" s="26" t="n">
        <x:f>IFERROR(H64/(H64+I64),0)</x:f>
        <x:v>0.999992757239361</x:v>
      </x:c>
      <x:c r="K64" s="26" t="n">
        <x:f>IFERROR(I64/(H64+I64),0)</x:f>
        <x:v>0.000007242760639099024</x:v>
      </x:c>
      <x:c r="L64" s="24" t="str">
        <x:f>IF(J64&gt;=K64,"Minat","Tidak minat")</x:f>
        <x:v>Minat</x:v>
      </x:c>
      <x:c r="M64" s="24" t="str">
        <x:f>IF(L64=G64,"Sesuai label latih","Berbeda dari label latih")</x:f>
        <x:v>Sesuai label latih</x:v>
      </x:c>
    </x:row>
    <x:row r="65">
      <x:c r="A65" s="24" t="n">
        <x:v>64</x:v>
      </x:c>
      <x:c r="B65" s="24" t="str">
        <x:v>MP1-P-029</x:v>
      </x:c>
      <x:c r="C65" s="24" t="str">
        <x:v>Siswa MP1 P-029</x:v>
      </x:c>
      <x:c r="D65" s="24" t="str">
        <x:v>MP / Manajemen Perkantoran</x:v>
      </x:c>
      <x:c r="E65" s="24" t="str">
        <x:v>MP 1</x:v>
      </x:c>
      <x:c r="F65" s="24" t="str">
        <x:v>Perempuan</x:v>
      </x:c>
      <x:c r="G65" s="24" t="str">
        <x:v>Minat</x:v>
      </x:c>
      <x:c r="H65" s="26" t="n">
        <x:f>Probabilitas!$C$4*INDEX(Probabilitas!$C$10:$C$11,MATCH(D65,Probabilitas!$A$10:$A$11,0))*INDEX(Probabilitas!$C$16:$C$22,MATCH(E65,Probabilitas!$A$16:$A$22,0))*INDEX(Probabilitas!$C$27:$C$28,MATCH(F65,Probabilitas!$A$27:$A$28,0))</x:f>
        <x:v>0.05796351092831862</x:v>
      </x:c>
      <x:c r="I65" s="26" t="n">
        <x:f>Probabilitas!$C$5*INDEX(Probabilitas!$E$10:$E$11,MATCH(D65,Probabilitas!$A$10:$A$11,0))*INDEX(Probabilitas!$E$16:$E$22,MATCH(E65,Probabilitas!$A$16:$A$22,0))*INDEX(Probabilitas!$E$27:$E$28,MATCH(F65,Probabilitas!$A$27:$A$28,0))</x:f>
        <x:v>4.198188761032436e-7</x:v>
      </x:c>
      <x:c r="J65" s="26" t="n">
        <x:f>IFERROR(H65/(H65+I65),0)</x:f>
        <x:v>0.999992757239361</x:v>
      </x:c>
      <x:c r="K65" s="26" t="n">
        <x:f>IFERROR(I65/(H65+I65),0)</x:f>
        <x:v>0.000007242760639099024</x:v>
      </x:c>
      <x:c r="L65" s="24" t="str">
        <x:f>IF(J65&gt;=K65,"Minat","Tidak minat")</x:f>
        <x:v>Minat</x:v>
      </x:c>
      <x:c r="M65" s="24" t="str">
        <x:f>IF(L65=G65,"Sesuai label latih","Berbeda dari label latih")</x:f>
        <x:v>Sesuai label latih</x:v>
      </x:c>
    </x:row>
    <x:row r="66">
      <x:c r="A66" s="24" t="n">
        <x:v>65</x:v>
      </x:c>
      <x:c r="B66" s="24" t="str">
        <x:v>MP1-P-030</x:v>
      </x:c>
      <x:c r="C66" s="24" t="str">
        <x:v>Siswa MP1 P-030</x:v>
      </x:c>
      <x:c r="D66" s="24" t="str">
        <x:v>MP / Manajemen Perkantoran</x:v>
      </x:c>
      <x:c r="E66" s="24" t="str">
        <x:v>MP 1</x:v>
      </x:c>
      <x:c r="F66" s="24" t="str">
        <x:v>Perempuan</x:v>
      </x:c>
      <x:c r="G66" s="24" t="str">
        <x:v>Minat</x:v>
      </x:c>
      <x:c r="H66" s="26" t="n">
        <x:f>Probabilitas!$C$4*INDEX(Probabilitas!$C$10:$C$11,MATCH(D66,Probabilitas!$A$10:$A$11,0))*INDEX(Probabilitas!$C$16:$C$22,MATCH(E66,Probabilitas!$A$16:$A$22,0))*INDEX(Probabilitas!$C$27:$C$28,MATCH(F66,Probabilitas!$A$27:$A$28,0))</x:f>
        <x:v>0.05796351092831862</x:v>
      </x:c>
      <x:c r="I66" s="26" t="n">
        <x:f>Probabilitas!$C$5*INDEX(Probabilitas!$E$10:$E$11,MATCH(D66,Probabilitas!$A$10:$A$11,0))*INDEX(Probabilitas!$E$16:$E$22,MATCH(E66,Probabilitas!$A$16:$A$22,0))*INDEX(Probabilitas!$E$27:$E$28,MATCH(F66,Probabilitas!$A$27:$A$28,0))</x:f>
        <x:v>4.198188761032436e-7</x:v>
      </x:c>
      <x:c r="J66" s="26" t="n">
        <x:f>IFERROR(H66/(H66+I66),0)</x:f>
        <x:v>0.999992757239361</x:v>
      </x:c>
      <x:c r="K66" s="26" t="n">
        <x:f>IFERROR(I66/(H66+I66),0)</x:f>
        <x:v>0.000007242760639099024</x:v>
      </x:c>
      <x:c r="L66" s="24" t="str">
        <x:f>IF(J66&gt;=K66,"Minat","Tidak minat")</x:f>
        <x:v>Minat</x:v>
      </x:c>
      <x:c r="M66" s="24" t="str">
        <x:f>IF(L66=G66,"Sesuai label latih","Berbeda dari label latih")</x:f>
        <x:v>Sesuai label latih</x:v>
      </x:c>
    </x:row>
    <x:row r="67">
      <x:c r="A67" s="24" t="n">
        <x:v>66</x:v>
      </x:c>
      <x:c r="B67" s="24" t="str">
        <x:v>MP1-P-031</x:v>
      </x:c>
      <x:c r="C67" s="24" t="str">
        <x:v>Siswa MP1 P-031</x:v>
      </x:c>
      <x:c r="D67" s="24" t="str">
        <x:v>MP / Manajemen Perkantoran</x:v>
      </x:c>
      <x:c r="E67" s="24" t="str">
        <x:v>MP 1</x:v>
      </x:c>
      <x:c r="F67" s="24" t="str">
        <x:v>Perempuan</x:v>
      </x:c>
      <x:c r="G67" s="24" t="str">
        <x:v>Minat</x:v>
      </x:c>
      <x:c r="H67" s="26" t="n">
        <x:f>Probabilitas!$C$4*INDEX(Probabilitas!$C$10:$C$11,MATCH(D67,Probabilitas!$A$10:$A$11,0))*INDEX(Probabilitas!$C$16:$C$22,MATCH(E67,Probabilitas!$A$16:$A$22,0))*INDEX(Probabilitas!$C$27:$C$28,MATCH(F67,Probabilitas!$A$27:$A$28,0))</x:f>
        <x:v>0.05796351092831862</x:v>
      </x:c>
      <x:c r="I67" s="26" t="n">
        <x:f>Probabilitas!$C$5*INDEX(Probabilitas!$E$10:$E$11,MATCH(D67,Probabilitas!$A$10:$A$11,0))*INDEX(Probabilitas!$E$16:$E$22,MATCH(E67,Probabilitas!$A$16:$A$22,0))*INDEX(Probabilitas!$E$27:$E$28,MATCH(F67,Probabilitas!$A$27:$A$28,0))</x:f>
        <x:v>4.198188761032436e-7</x:v>
      </x:c>
      <x:c r="J67" s="26" t="n">
        <x:f>IFERROR(H67/(H67+I67),0)</x:f>
        <x:v>0.999992757239361</x:v>
      </x:c>
      <x:c r="K67" s="26" t="n">
        <x:f>IFERROR(I67/(H67+I67),0)</x:f>
        <x:v>0.000007242760639099024</x:v>
      </x:c>
      <x:c r="L67" s="24" t="str">
        <x:f>IF(J67&gt;=K67,"Minat","Tidak minat")</x:f>
        <x:v>Minat</x:v>
      </x:c>
      <x:c r="M67" s="24" t="str">
        <x:f>IF(L67=G67,"Sesuai label latih","Berbeda dari label latih")</x:f>
        <x:v>Sesuai label latih</x:v>
      </x:c>
    </x:row>
    <x:row r="68">
      <x:c r="A68" s="24" t="n">
        <x:v>67</x:v>
      </x:c>
      <x:c r="B68" s="24" t="str">
        <x:v>MP1-P-032</x:v>
      </x:c>
      <x:c r="C68" s="24" t="str">
        <x:v>Siswa MP1 P-032</x:v>
      </x:c>
      <x:c r="D68" s="24" t="str">
        <x:v>MP / Manajemen Perkantoran</x:v>
      </x:c>
      <x:c r="E68" s="24" t="str">
        <x:v>MP 1</x:v>
      </x:c>
      <x:c r="F68" s="24" t="str">
        <x:v>Perempuan</x:v>
      </x:c>
      <x:c r="G68" s="24" t="str">
        <x:v>Minat</x:v>
      </x:c>
      <x:c r="H68" s="26" t="n">
        <x:f>Probabilitas!$C$4*INDEX(Probabilitas!$C$10:$C$11,MATCH(D68,Probabilitas!$A$10:$A$11,0))*INDEX(Probabilitas!$C$16:$C$22,MATCH(E68,Probabilitas!$A$16:$A$22,0))*INDEX(Probabilitas!$C$27:$C$28,MATCH(F68,Probabilitas!$A$27:$A$28,0))</x:f>
        <x:v>0.05796351092831862</x:v>
      </x:c>
      <x:c r="I68" s="26" t="n">
        <x:f>Probabilitas!$C$5*INDEX(Probabilitas!$E$10:$E$11,MATCH(D68,Probabilitas!$A$10:$A$11,0))*INDEX(Probabilitas!$E$16:$E$22,MATCH(E68,Probabilitas!$A$16:$A$22,0))*INDEX(Probabilitas!$E$27:$E$28,MATCH(F68,Probabilitas!$A$27:$A$28,0))</x:f>
        <x:v>4.198188761032436e-7</x:v>
      </x:c>
      <x:c r="J68" s="26" t="n">
        <x:f>IFERROR(H68/(H68+I68),0)</x:f>
        <x:v>0.999992757239361</x:v>
      </x:c>
      <x:c r="K68" s="26" t="n">
        <x:f>IFERROR(I68/(H68+I68),0)</x:f>
        <x:v>0.000007242760639099024</x:v>
      </x:c>
      <x:c r="L68" s="24" t="str">
        <x:f>IF(J68&gt;=K68,"Minat","Tidak minat")</x:f>
        <x:v>Minat</x:v>
      </x:c>
      <x:c r="M68" s="24" t="str">
        <x:f>IF(L68=G68,"Sesuai label latih","Berbeda dari label latih")</x:f>
        <x:v>Sesuai label latih</x:v>
      </x:c>
    </x:row>
    <x:row r="69">
      <x:c r="A69" s="24" t="n">
        <x:v>68</x:v>
      </x:c>
      <x:c r="B69" s="24" t="str">
        <x:v>MP2-L-001</x:v>
      </x:c>
      <x:c r="C69" s="24" t="str">
        <x:v>Siswa MP2 L-001</x:v>
      </x:c>
      <x:c r="D69" s="24" t="str">
        <x:v>MP / Manajemen Perkantoran</x:v>
      </x:c>
      <x:c r="E69" s="24" t="str">
        <x:v>MP 2</x:v>
      </x:c>
      <x:c r="F69" s="24" t="str">
        <x:v>Laki-laki</x:v>
      </x:c>
      <x:c r="G69" s="24" t="str">
        <x:v>Minat</x:v>
      </x:c>
      <x:c r="H69" s="26" t="n">
        <x:f>Probabilitas!$C$4*INDEX(Probabilitas!$C$10:$C$11,MATCH(D69,Probabilitas!$A$10:$A$11,0))*INDEX(Probabilitas!$C$16:$C$22,MATCH(E69,Probabilitas!$A$16:$A$22,0))*INDEX(Probabilitas!$C$27:$C$28,MATCH(F69,Probabilitas!$A$27:$A$28,0))</x:f>
        <x:v>0.053541134730526116</x:v>
      </x:c>
      <x:c r="I69" s="26" t="n">
        <x:f>Probabilitas!$C$5*INDEX(Probabilitas!$E$10:$E$11,MATCH(D69,Probabilitas!$A$10:$A$11,0))*INDEX(Probabilitas!$E$16:$E$22,MATCH(E69,Probabilitas!$A$16:$A$22,0))*INDEX(Probabilitas!$E$27:$E$28,MATCH(F69,Probabilitas!$A$27:$A$28,0))</x:f>
        <x:v>0.000004548037824451806</x:v>
      </x:c>
      <x:c r="J69" s="26" t="n">
        <x:f>IFERROR(H69/(H69+I69),0)</x:f>
        <x:v>0.9999150624739602</x:v>
      </x:c>
      <x:c r="K69" s="26" t="n">
        <x:f>IFERROR(I69/(H69+I69),0)</x:f>
        <x:v>0.00008493752603972827</x:v>
      </x:c>
      <x:c r="L69" s="24" t="str">
        <x:f>IF(J69&gt;=K69,"Minat","Tidak minat")</x:f>
        <x:v>Minat</x:v>
      </x:c>
      <x:c r="M69" s="24" t="str">
        <x:f>IF(L69=G69,"Sesuai label latih","Berbeda dari label latih")</x:f>
        <x:v>Sesuai label latih</x:v>
      </x:c>
    </x:row>
    <x:row r="70">
      <x:c r="A70" s="24" t="n">
        <x:v>69</x:v>
      </x:c>
      <x:c r="B70" s="24" t="str">
        <x:v>MP2-L-002</x:v>
      </x:c>
      <x:c r="C70" s="24" t="str">
        <x:v>Siswa MP2 L-002</x:v>
      </x:c>
      <x:c r="D70" s="24" t="str">
        <x:v>MP / Manajemen Perkantoran</x:v>
      </x:c>
      <x:c r="E70" s="24" t="str">
        <x:v>MP 2</x:v>
      </x:c>
      <x:c r="F70" s="24" t="str">
        <x:v>Laki-laki</x:v>
      </x:c>
      <x:c r="G70" s="24" t="str">
        <x:v>Minat</x:v>
      </x:c>
      <x:c r="H70" s="26" t="n">
        <x:f>Probabilitas!$C$4*INDEX(Probabilitas!$C$10:$C$11,MATCH(D70,Probabilitas!$A$10:$A$11,0))*INDEX(Probabilitas!$C$16:$C$22,MATCH(E70,Probabilitas!$A$16:$A$22,0))*INDEX(Probabilitas!$C$27:$C$28,MATCH(F70,Probabilitas!$A$27:$A$28,0))</x:f>
        <x:v>0.053541134730526116</x:v>
      </x:c>
      <x:c r="I70" s="26" t="n">
        <x:f>Probabilitas!$C$5*INDEX(Probabilitas!$E$10:$E$11,MATCH(D70,Probabilitas!$A$10:$A$11,0))*INDEX(Probabilitas!$E$16:$E$22,MATCH(E70,Probabilitas!$A$16:$A$22,0))*INDEX(Probabilitas!$E$27:$E$28,MATCH(F70,Probabilitas!$A$27:$A$28,0))</x:f>
        <x:v>0.000004548037824451806</x:v>
      </x:c>
      <x:c r="J70" s="26" t="n">
        <x:f>IFERROR(H70/(H70+I70),0)</x:f>
        <x:v>0.9999150624739602</x:v>
      </x:c>
      <x:c r="K70" s="26" t="n">
        <x:f>IFERROR(I70/(H70+I70),0)</x:f>
        <x:v>0.00008493752603972827</x:v>
      </x:c>
      <x:c r="L70" s="24" t="str">
        <x:f>IF(J70&gt;=K70,"Minat","Tidak minat")</x:f>
        <x:v>Minat</x:v>
      </x:c>
      <x:c r="M70" s="24" t="str">
        <x:f>IF(L70=G70,"Sesuai label latih","Berbeda dari label latih")</x:f>
        <x:v>Sesuai label latih</x:v>
      </x:c>
    </x:row>
    <x:row r="71">
      <x:c r="A71" s="24" t="n">
        <x:v>70</x:v>
      </x:c>
      <x:c r="B71" s="24" t="str">
        <x:v>MP2-L-003</x:v>
      </x:c>
      <x:c r="C71" s="24" t="str">
        <x:v>Siswa MP2 L-003</x:v>
      </x:c>
      <x:c r="D71" s="24" t="str">
        <x:v>MP / Manajemen Perkantoran</x:v>
      </x:c>
      <x:c r="E71" s="24" t="str">
        <x:v>MP 2</x:v>
      </x:c>
      <x:c r="F71" s="24" t="str">
        <x:v>Laki-laki</x:v>
      </x:c>
      <x:c r="G71" s="24" t="str">
        <x:v>Minat</x:v>
      </x:c>
      <x:c r="H71" s="26" t="n">
        <x:f>Probabilitas!$C$4*INDEX(Probabilitas!$C$10:$C$11,MATCH(D71,Probabilitas!$A$10:$A$11,0))*INDEX(Probabilitas!$C$16:$C$22,MATCH(E71,Probabilitas!$A$16:$A$22,0))*INDEX(Probabilitas!$C$27:$C$28,MATCH(F71,Probabilitas!$A$27:$A$28,0))</x:f>
        <x:v>0.053541134730526116</x:v>
      </x:c>
      <x:c r="I71" s="26" t="n">
        <x:f>Probabilitas!$C$5*INDEX(Probabilitas!$E$10:$E$11,MATCH(D71,Probabilitas!$A$10:$A$11,0))*INDEX(Probabilitas!$E$16:$E$22,MATCH(E71,Probabilitas!$A$16:$A$22,0))*INDEX(Probabilitas!$E$27:$E$28,MATCH(F71,Probabilitas!$A$27:$A$28,0))</x:f>
        <x:v>0.000004548037824451806</x:v>
      </x:c>
      <x:c r="J71" s="26" t="n">
        <x:f>IFERROR(H71/(H71+I71),0)</x:f>
        <x:v>0.9999150624739602</x:v>
      </x:c>
      <x:c r="K71" s="26" t="n">
        <x:f>IFERROR(I71/(H71+I71),0)</x:f>
        <x:v>0.00008493752603972827</x:v>
      </x:c>
      <x:c r="L71" s="24" t="str">
        <x:f>IF(J71&gt;=K71,"Minat","Tidak minat")</x:f>
        <x:v>Minat</x:v>
      </x:c>
      <x:c r="M71" s="24" t="str">
        <x:f>IF(L71=G71,"Sesuai label latih","Berbeda dari label latih")</x:f>
        <x:v>Sesuai label latih</x:v>
      </x:c>
    </x:row>
    <x:row r="72">
      <x:c r="A72" s="24" t="n">
        <x:v>71</x:v>
      </x:c>
      <x:c r="B72" s="24" t="str">
        <x:v>MP2-L-004</x:v>
      </x:c>
      <x:c r="C72" s="24" t="str">
        <x:v>Siswa MP2 L-004</x:v>
      </x:c>
      <x:c r="D72" s="24" t="str">
        <x:v>MP / Manajemen Perkantoran</x:v>
      </x:c>
      <x:c r="E72" s="24" t="str">
        <x:v>MP 2</x:v>
      </x:c>
      <x:c r="F72" s="24" t="str">
        <x:v>Laki-laki</x:v>
      </x:c>
      <x:c r="G72" s="24" t="str">
        <x:v>Minat</x:v>
      </x:c>
      <x:c r="H72" s="26" t="n">
        <x:f>Probabilitas!$C$4*INDEX(Probabilitas!$C$10:$C$11,MATCH(D72,Probabilitas!$A$10:$A$11,0))*INDEX(Probabilitas!$C$16:$C$22,MATCH(E72,Probabilitas!$A$16:$A$22,0))*INDEX(Probabilitas!$C$27:$C$28,MATCH(F72,Probabilitas!$A$27:$A$28,0))</x:f>
        <x:v>0.053541134730526116</x:v>
      </x:c>
      <x:c r="I72" s="26" t="n">
        <x:f>Probabilitas!$C$5*INDEX(Probabilitas!$E$10:$E$11,MATCH(D72,Probabilitas!$A$10:$A$11,0))*INDEX(Probabilitas!$E$16:$E$22,MATCH(E72,Probabilitas!$A$16:$A$22,0))*INDEX(Probabilitas!$E$27:$E$28,MATCH(F72,Probabilitas!$A$27:$A$28,0))</x:f>
        <x:v>0.000004548037824451806</x:v>
      </x:c>
      <x:c r="J72" s="26" t="n">
        <x:f>IFERROR(H72/(H72+I72),0)</x:f>
        <x:v>0.9999150624739602</x:v>
      </x:c>
      <x:c r="K72" s="26" t="n">
        <x:f>IFERROR(I72/(H72+I72),0)</x:f>
        <x:v>0.00008493752603972827</x:v>
      </x:c>
      <x:c r="L72" s="24" t="str">
        <x:f>IF(J72&gt;=K72,"Minat","Tidak minat")</x:f>
        <x:v>Minat</x:v>
      </x:c>
      <x:c r="M72" s="24" t="str">
        <x:f>IF(L72=G72,"Sesuai label latih","Berbeda dari label latih")</x:f>
        <x:v>Sesuai label latih</x:v>
      </x:c>
    </x:row>
    <x:row r="73">
      <x:c r="A73" s="24" t="n">
        <x:v>72</x:v>
      </x:c>
      <x:c r="B73" s="24" t="str">
        <x:v>MP2-L-005</x:v>
      </x:c>
      <x:c r="C73" s="24" t="str">
        <x:v>Siswa MP2 L-005</x:v>
      </x:c>
      <x:c r="D73" s="24" t="str">
        <x:v>MP / Manajemen Perkantoran</x:v>
      </x:c>
      <x:c r="E73" s="24" t="str">
        <x:v>MP 2</x:v>
      </x:c>
      <x:c r="F73" s="24" t="str">
        <x:v>Laki-laki</x:v>
      </x:c>
      <x:c r="G73" s="24" t="str">
        <x:v>Minat</x:v>
      </x:c>
      <x:c r="H73" s="26" t="n">
        <x:f>Probabilitas!$C$4*INDEX(Probabilitas!$C$10:$C$11,MATCH(D73,Probabilitas!$A$10:$A$11,0))*INDEX(Probabilitas!$C$16:$C$22,MATCH(E73,Probabilitas!$A$16:$A$22,0))*INDEX(Probabilitas!$C$27:$C$28,MATCH(F73,Probabilitas!$A$27:$A$28,0))</x:f>
        <x:v>0.053541134730526116</x:v>
      </x:c>
      <x:c r="I73" s="26" t="n">
        <x:f>Probabilitas!$C$5*INDEX(Probabilitas!$E$10:$E$11,MATCH(D73,Probabilitas!$A$10:$A$11,0))*INDEX(Probabilitas!$E$16:$E$22,MATCH(E73,Probabilitas!$A$16:$A$22,0))*INDEX(Probabilitas!$E$27:$E$28,MATCH(F73,Probabilitas!$A$27:$A$28,0))</x:f>
        <x:v>0.000004548037824451806</x:v>
      </x:c>
      <x:c r="J73" s="26" t="n">
        <x:f>IFERROR(H73/(H73+I73),0)</x:f>
        <x:v>0.9999150624739602</x:v>
      </x:c>
      <x:c r="K73" s="26" t="n">
        <x:f>IFERROR(I73/(H73+I73),0)</x:f>
        <x:v>0.00008493752603972827</x:v>
      </x:c>
      <x:c r="L73" s="24" t="str">
        <x:f>IF(J73&gt;=K73,"Minat","Tidak minat")</x:f>
        <x:v>Minat</x:v>
      </x:c>
      <x:c r="M73" s="24" t="str">
        <x:f>IF(L73=G73,"Sesuai label latih","Berbeda dari label latih")</x:f>
        <x:v>Sesuai label latih</x:v>
      </x:c>
    </x:row>
    <x:row r="74">
      <x:c r="A74" s="24" t="n">
        <x:v>73</x:v>
      </x:c>
      <x:c r="B74" s="24" t="str">
        <x:v>MP2-L-006</x:v>
      </x:c>
      <x:c r="C74" s="24" t="str">
        <x:v>Siswa MP2 L-006</x:v>
      </x:c>
      <x:c r="D74" s="24" t="str">
        <x:v>MP / Manajemen Perkantoran</x:v>
      </x:c>
      <x:c r="E74" s="24" t="str">
        <x:v>MP 2</x:v>
      </x:c>
      <x:c r="F74" s="24" t="str">
        <x:v>Laki-laki</x:v>
      </x:c>
      <x:c r="G74" s="24" t="str">
        <x:v>Minat</x:v>
      </x:c>
      <x:c r="H74" s="26" t="n">
        <x:f>Probabilitas!$C$4*INDEX(Probabilitas!$C$10:$C$11,MATCH(D74,Probabilitas!$A$10:$A$11,0))*INDEX(Probabilitas!$C$16:$C$22,MATCH(E74,Probabilitas!$A$16:$A$22,0))*INDEX(Probabilitas!$C$27:$C$28,MATCH(F74,Probabilitas!$A$27:$A$28,0))</x:f>
        <x:v>0.053541134730526116</x:v>
      </x:c>
      <x:c r="I74" s="26" t="n">
        <x:f>Probabilitas!$C$5*INDEX(Probabilitas!$E$10:$E$11,MATCH(D74,Probabilitas!$A$10:$A$11,0))*INDEX(Probabilitas!$E$16:$E$22,MATCH(E74,Probabilitas!$A$16:$A$22,0))*INDEX(Probabilitas!$E$27:$E$28,MATCH(F74,Probabilitas!$A$27:$A$28,0))</x:f>
        <x:v>0.000004548037824451806</x:v>
      </x:c>
      <x:c r="J74" s="26" t="n">
        <x:f>IFERROR(H74/(H74+I74),0)</x:f>
        <x:v>0.9999150624739602</x:v>
      </x:c>
      <x:c r="K74" s="26" t="n">
        <x:f>IFERROR(I74/(H74+I74),0)</x:f>
        <x:v>0.00008493752603972827</x:v>
      </x:c>
      <x:c r="L74" s="24" t="str">
        <x:f>IF(J74&gt;=K74,"Minat","Tidak minat")</x:f>
        <x:v>Minat</x:v>
      </x:c>
      <x:c r="M74" s="24" t="str">
        <x:f>IF(L74=G74,"Sesuai label latih","Berbeda dari label latih")</x:f>
        <x:v>Sesuai label latih</x:v>
      </x:c>
    </x:row>
    <x:row r="75">
      <x:c r="A75" s="24" t="n">
        <x:v>74</x:v>
      </x:c>
      <x:c r="B75" s="24" t="str">
        <x:v>MP2-L-007</x:v>
      </x:c>
      <x:c r="C75" s="24" t="str">
        <x:v>Siswa MP2 L-007</x:v>
      </x:c>
      <x:c r="D75" s="24" t="str">
        <x:v>MP / Manajemen Perkantoran</x:v>
      </x:c>
      <x:c r="E75" s="24" t="str">
        <x:v>MP 2</x:v>
      </x:c>
      <x:c r="F75" s="24" t="str">
        <x:v>Laki-laki</x:v>
      </x:c>
      <x:c r="G75" s="24" t="str">
        <x:v>Minat</x:v>
      </x:c>
      <x:c r="H75" s="26" t="n">
        <x:f>Probabilitas!$C$4*INDEX(Probabilitas!$C$10:$C$11,MATCH(D75,Probabilitas!$A$10:$A$11,0))*INDEX(Probabilitas!$C$16:$C$22,MATCH(E75,Probabilitas!$A$16:$A$22,0))*INDEX(Probabilitas!$C$27:$C$28,MATCH(F75,Probabilitas!$A$27:$A$28,0))</x:f>
        <x:v>0.053541134730526116</x:v>
      </x:c>
      <x:c r="I75" s="26" t="n">
        <x:f>Probabilitas!$C$5*INDEX(Probabilitas!$E$10:$E$11,MATCH(D75,Probabilitas!$A$10:$A$11,0))*INDEX(Probabilitas!$E$16:$E$22,MATCH(E75,Probabilitas!$A$16:$A$22,0))*INDEX(Probabilitas!$E$27:$E$28,MATCH(F75,Probabilitas!$A$27:$A$28,0))</x:f>
        <x:v>0.000004548037824451806</x:v>
      </x:c>
      <x:c r="J75" s="26" t="n">
        <x:f>IFERROR(H75/(H75+I75),0)</x:f>
        <x:v>0.9999150624739602</x:v>
      </x:c>
      <x:c r="K75" s="26" t="n">
        <x:f>IFERROR(I75/(H75+I75),0)</x:f>
        <x:v>0.00008493752603972827</x:v>
      </x:c>
      <x:c r="L75" s="24" t="str">
        <x:f>IF(J75&gt;=K75,"Minat","Tidak minat")</x:f>
        <x:v>Minat</x:v>
      </x:c>
      <x:c r="M75" s="24" t="str">
        <x:f>IF(L75=G75,"Sesuai label latih","Berbeda dari label latih")</x:f>
        <x:v>Sesuai label latih</x:v>
      </x:c>
    </x:row>
    <x:row r="76">
      <x:c r="A76" s="24" t="n">
        <x:v>75</x:v>
      </x:c>
      <x:c r="B76" s="24" t="str">
        <x:v>MP2-L-008</x:v>
      </x:c>
      <x:c r="C76" s="24" t="str">
        <x:v>Siswa MP2 L-008</x:v>
      </x:c>
      <x:c r="D76" s="24" t="str">
        <x:v>MP / Manajemen Perkantoran</x:v>
      </x:c>
      <x:c r="E76" s="24" t="str">
        <x:v>MP 2</x:v>
      </x:c>
      <x:c r="F76" s="24" t="str">
        <x:v>Laki-laki</x:v>
      </x:c>
      <x:c r="G76" s="24" t="str">
        <x:v>Minat</x:v>
      </x:c>
      <x:c r="H76" s="26" t="n">
        <x:f>Probabilitas!$C$4*INDEX(Probabilitas!$C$10:$C$11,MATCH(D76,Probabilitas!$A$10:$A$11,0))*INDEX(Probabilitas!$C$16:$C$22,MATCH(E76,Probabilitas!$A$16:$A$22,0))*INDEX(Probabilitas!$C$27:$C$28,MATCH(F76,Probabilitas!$A$27:$A$28,0))</x:f>
        <x:v>0.053541134730526116</x:v>
      </x:c>
      <x:c r="I76" s="26" t="n">
        <x:f>Probabilitas!$C$5*INDEX(Probabilitas!$E$10:$E$11,MATCH(D76,Probabilitas!$A$10:$A$11,0))*INDEX(Probabilitas!$E$16:$E$22,MATCH(E76,Probabilitas!$A$16:$A$22,0))*INDEX(Probabilitas!$E$27:$E$28,MATCH(F76,Probabilitas!$A$27:$A$28,0))</x:f>
        <x:v>0.000004548037824451806</x:v>
      </x:c>
      <x:c r="J76" s="26" t="n">
        <x:f>IFERROR(H76/(H76+I76),0)</x:f>
        <x:v>0.9999150624739602</x:v>
      </x:c>
      <x:c r="K76" s="26" t="n">
        <x:f>IFERROR(I76/(H76+I76),0)</x:f>
        <x:v>0.00008493752603972827</x:v>
      </x:c>
      <x:c r="L76" s="24" t="str">
        <x:f>IF(J76&gt;=K76,"Minat","Tidak minat")</x:f>
        <x:v>Minat</x:v>
      </x:c>
      <x:c r="M76" s="24" t="str">
        <x:f>IF(L76=G76,"Sesuai label latih","Berbeda dari label latih")</x:f>
        <x:v>Sesuai label latih</x:v>
      </x:c>
    </x:row>
    <x:row r="77">
      <x:c r="A77" s="24" t="n">
        <x:v>76</x:v>
      </x:c>
      <x:c r="B77" s="24" t="str">
        <x:v>MP2-L-009</x:v>
      </x:c>
      <x:c r="C77" s="24" t="str">
        <x:v>Siswa MP2 L-009</x:v>
      </x:c>
      <x:c r="D77" s="24" t="str">
        <x:v>MP / Manajemen Perkantoran</x:v>
      </x:c>
      <x:c r="E77" s="24" t="str">
        <x:v>MP 2</x:v>
      </x:c>
      <x:c r="F77" s="24" t="str">
        <x:v>Laki-laki</x:v>
      </x:c>
      <x:c r="G77" s="24" t="str">
        <x:v>Minat</x:v>
      </x:c>
      <x:c r="H77" s="26" t="n">
        <x:f>Probabilitas!$C$4*INDEX(Probabilitas!$C$10:$C$11,MATCH(D77,Probabilitas!$A$10:$A$11,0))*INDEX(Probabilitas!$C$16:$C$22,MATCH(E77,Probabilitas!$A$16:$A$22,0))*INDEX(Probabilitas!$C$27:$C$28,MATCH(F77,Probabilitas!$A$27:$A$28,0))</x:f>
        <x:v>0.053541134730526116</x:v>
      </x:c>
      <x:c r="I77" s="26" t="n">
        <x:f>Probabilitas!$C$5*INDEX(Probabilitas!$E$10:$E$11,MATCH(D77,Probabilitas!$A$10:$A$11,0))*INDEX(Probabilitas!$E$16:$E$22,MATCH(E77,Probabilitas!$A$16:$A$22,0))*INDEX(Probabilitas!$E$27:$E$28,MATCH(F77,Probabilitas!$A$27:$A$28,0))</x:f>
        <x:v>0.000004548037824451806</x:v>
      </x:c>
      <x:c r="J77" s="26" t="n">
        <x:f>IFERROR(H77/(H77+I77),0)</x:f>
        <x:v>0.9999150624739602</x:v>
      </x:c>
      <x:c r="K77" s="26" t="n">
        <x:f>IFERROR(I77/(H77+I77),0)</x:f>
        <x:v>0.00008493752603972827</x:v>
      </x:c>
      <x:c r="L77" s="24" t="str">
        <x:f>IF(J77&gt;=K77,"Minat","Tidak minat")</x:f>
        <x:v>Minat</x:v>
      </x:c>
      <x:c r="M77" s="24" t="str">
        <x:f>IF(L77=G77,"Sesuai label latih","Berbeda dari label latih")</x:f>
        <x:v>Sesuai label latih</x:v>
      </x:c>
    </x:row>
    <x:row r="78">
      <x:c r="A78" s="24" t="n">
        <x:v>77</x:v>
      </x:c>
      <x:c r="B78" s="24" t="str">
        <x:v>MP2-L-010</x:v>
      </x:c>
      <x:c r="C78" s="24" t="str">
        <x:v>Siswa MP2 L-010</x:v>
      </x:c>
      <x:c r="D78" s="24" t="str">
        <x:v>MP / Manajemen Perkantoran</x:v>
      </x:c>
      <x:c r="E78" s="24" t="str">
        <x:v>MP 2</x:v>
      </x:c>
      <x:c r="F78" s="24" t="str">
        <x:v>Laki-laki</x:v>
      </x:c>
      <x:c r="G78" s="24" t="str">
        <x:v>Minat</x:v>
      </x:c>
      <x:c r="H78" s="26" t="n">
        <x:f>Probabilitas!$C$4*INDEX(Probabilitas!$C$10:$C$11,MATCH(D78,Probabilitas!$A$10:$A$11,0))*INDEX(Probabilitas!$C$16:$C$22,MATCH(E78,Probabilitas!$A$16:$A$22,0))*INDEX(Probabilitas!$C$27:$C$28,MATCH(F78,Probabilitas!$A$27:$A$28,0))</x:f>
        <x:v>0.053541134730526116</x:v>
      </x:c>
      <x:c r="I78" s="26" t="n">
        <x:f>Probabilitas!$C$5*INDEX(Probabilitas!$E$10:$E$11,MATCH(D78,Probabilitas!$A$10:$A$11,0))*INDEX(Probabilitas!$E$16:$E$22,MATCH(E78,Probabilitas!$A$16:$A$22,0))*INDEX(Probabilitas!$E$27:$E$28,MATCH(F78,Probabilitas!$A$27:$A$28,0))</x:f>
        <x:v>0.000004548037824451806</x:v>
      </x:c>
      <x:c r="J78" s="26" t="n">
        <x:f>IFERROR(H78/(H78+I78),0)</x:f>
        <x:v>0.9999150624739602</x:v>
      </x:c>
      <x:c r="K78" s="26" t="n">
        <x:f>IFERROR(I78/(H78+I78),0)</x:f>
        <x:v>0.00008493752603972827</x:v>
      </x:c>
      <x:c r="L78" s="24" t="str">
        <x:f>IF(J78&gt;=K78,"Minat","Tidak minat")</x:f>
        <x:v>Minat</x:v>
      </x:c>
      <x:c r="M78" s="24" t="str">
        <x:f>IF(L78=G78,"Sesuai label latih","Berbeda dari label latih")</x:f>
        <x:v>Sesuai label latih</x:v>
      </x:c>
    </x:row>
    <x:row r="79">
      <x:c r="A79" s="24" t="n">
        <x:v>78</x:v>
      </x:c>
      <x:c r="B79" s="24" t="str">
        <x:v>MP2-L-011</x:v>
      </x:c>
      <x:c r="C79" s="24" t="str">
        <x:v>Siswa MP2 L-011</x:v>
      </x:c>
      <x:c r="D79" s="24" t="str">
        <x:v>MP / Manajemen Perkantoran</x:v>
      </x:c>
      <x:c r="E79" s="24" t="str">
        <x:v>MP 2</x:v>
      </x:c>
      <x:c r="F79" s="24" t="str">
        <x:v>Laki-laki</x:v>
      </x:c>
      <x:c r="G79" s="24" t="str">
        <x:v>Minat</x:v>
      </x:c>
      <x:c r="H79" s="26" t="n">
        <x:f>Probabilitas!$C$4*INDEX(Probabilitas!$C$10:$C$11,MATCH(D79,Probabilitas!$A$10:$A$11,0))*INDEX(Probabilitas!$C$16:$C$22,MATCH(E79,Probabilitas!$A$16:$A$22,0))*INDEX(Probabilitas!$C$27:$C$28,MATCH(F79,Probabilitas!$A$27:$A$28,0))</x:f>
        <x:v>0.053541134730526116</x:v>
      </x:c>
      <x:c r="I79" s="26" t="n">
        <x:f>Probabilitas!$C$5*INDEX(Probabilitas!$E$10:$E$11,MATCH(D79,Probabilitas!$A$10:$A$11,0))*INDEX(Probabilitas!$E$16:$E$22,MATCH(E79,Probabilitas!$A$16:$A$22,0))*INDEX(Probabilitas!$E$27:$E$28,MATCH(F79,Probabilitas!$A$27:$A$28,0))</x:f>
        <x:v>0.000004548037824451806</x:v>
      </x:c>
      <x:c r="J79" s="26" t="n">
        <x:f>IFERROR(H79/(H79+I79),0)</x:f>
        <x:v>0.9999150624739602</x:v>
      </x:c>
      <x:c r="K79" s="26" t="n">
        <x:f>IFERROR(I79/(H79+I79),0)</x:f>
        <x:v>0.00008493752603972827</x:v>
      </x:c>
      <x:c r="L79" s="24" t="str">
        <x:f>IF(J79&gt;=K79,"Minat","Tidak minat")</x:f>
        <x:v>Minat</x:v>
      </x:c>
      <x:c r="M79" s="24" t="str">
        <x:f>IF(L79=G79,"Sesuai label latih","Berbeda dari label latih")</x:f>
        <x:v>Sesuai label latih</x:v>
      </x:c>
    </x:row>
    <x:row r="80">
      <x:c r="A80" s="24" t="n">
        <x:v>79</x:v>
      </x:c>
      <x:c r="B80" s="24" t="str">
        <x:v>MP2-L-012</x:v>
      </x:c>
      <x:c r="C80" s="24" t="str">
        <x:v>Siswa MP2 L-012</x:v>
      </x:c>
      <x:c r="D80" s="24" t="str">
        <x:v>MP / Manajemen Perkantoran</x:v>
      </x:c>
      <x:c r="E80" s="24" t="str">
        <x:v>MP 2</x:v>
      </x:c>
      <x:c r="F80" s="24" t="str">
        <x:v>Laki-laki</x:v>
      </x:c>
      <x:c r="G80" s="24" t="str">
        <x:v>Minat</x:v>
      </x:c>
      <x:c r="H80" s="26" t="n">
        <x:f>Probabilitas!$C$4*INDEX(Probabilitas!$C$10:$C$11,MATCH(D80,Probabilitas!$A$10:$A$11,0))*INDEX(Probabilitas!$C$16:$C$22,MATCH(E80,Probabilitas!$A$16:$A$22,0))*INDEX(Probabilitas!$C$27:$C$28,MATCH(F80,Probabilitas!$A$27:$A$28,0))</x:f>
        <x:v>0.053541134730526116</x:v>
      </x:c>
      <x:c r="I80" s="26" t="n">
        <x:f>Probabilitas!$C$5*INDEX(Probabilitas!$E$10:$E$11,MATCH(D80,Probabilitas!$A$10:$A$11,0))*INDEX(Probabilitas!$E$16:$E$22,MATCH(E80,Probabilitas!$A$16:$A$22,0))*INDEX(Probabilitas!$E$27:$E$28,MATCH(F80,Probabilitas!$A$27:$A$28,0))</x:f>
        <x:v>0.000004548037824451806</x:v>
      </x:c>
      <x:c r="J80" s="26" t="n">
        <x:f>IFERROR(H80/(H80+I80),0)</x:f>
        <x:v>0.9999150624739602</x:v>
      </x:c>
      <x:c r="K80" s="26" t="n">
        <x:f>IFERROR(I80/(H80+I80),0)</x:f>
        <x:v>0.00008493752603972827</x:v>
      </x:c>
      <x:c r="L80" s="24" t="str">
        <x:f>IF(J80&gt;=K80,"Minat","Tidak minat")</x:f>
        <x:v>Minat</x:v>
      </x:c>
      <x:c r="M80" s="24" t="str">
        <x:f>IF(L80=G80,"Sesuai label latih","Berbeda dari label latih")</x:f>
        <x:v>Sesuai label latih</x:v>
      </x:c>
    </x:row>
    <x:row r="81">
      <x:c r="A81" s="24" t="n">
        <x:v>80</x:v>
      </x:c>
      <x:c r="B81" s="24" t="str">
        <x:v>MP2-L-013</x:v>
      </x:c>
      <x:c r="C81" s="24" t="str">
        <x:v>Siswa MP2 L-013</x:v>
      </x:c>
      <x:c r="D81" s="24" t="str">
        <x:v>MP / Manajemen Perkantoran</x:v>
      </x:c>
      <x:c r="E81" s="24" t="str">
        <x:v>MP 2</x:v>
      </x:c>
      <x:c r="F81" s="24" t="str">
        <x:v>Laki-laki</x:v>
      </x:c>
      <x:c r="G81" s="24" t="str">
        <x:v>Minat</x:v>
      </x:c>
      <x:c r="H81" s="26" t="n">
        <x:f>Probabilitas!$C$4*INDEX(Probabilitas!$C$10:$C$11,MATCH(D81,Probabilitas!$A$10:$A$11,0))*INDEX(Probabilitas!$C$16:$C$22,MATCH(E81,Probabilitas!$A$16:$A$22,0))*INDEX(Probabilitas!$C$27:$C$28,MATCH(F81,Probabilitas!$A$27:$A$28,0))</x:f>
        <x:v>0.053541134730526116</x:v>
      </x:c>
      <x:c r="I81" s="26" t="n">
        <x:f>Probabilitas!$C$5*INDEX(Probabilitas!$E$10:$E$11,MATCH(D81,Probabilitas!$A$10:$A$11,0))*INDEX(Probabilitas!$E$16:$E$22,MATCH(E81,Probabilitas!$A$16:$A$22,0))*INDEX(Probabilitas!$E$27:$E$28,MATCH(F81,Probabilitas!$A$27:$A$28,0))</x:f>
        <x:v>0.000004548037824451806</x:v>
      </x:c>
      <x:c r="J81" s="26" t="n">
        <x:f>IFERROR(H81/(H81+I81),0)</x:f>
        <x:v>0.9999150624739602</x:v>
      </x:c>
      <x:c r="K81" s="26" t="n">
        <x:f>IFERROR(I81/(H81+I81),0)</x:f>
        <x:v>0.00008493752603972827</x:v>
      </x:c>
      <x:c r="L81" s="24" t="str">
        <x:f>IF(J81&gt;=K81,"Minat","Tidak minat")</x:f>
        <x:v>Minat</x:v>
      </x:c>
      <x:c r="M81" s="24" t="str">
        <x:f>IF(L81=G81,"Sesuai label latih","Berbeda dari label latih")</x:f>
        <x:v>Sesuai label latih</x:v>
      </x:c>
    </x:row>
    <x:row r="82">
      <x:c r="A82" s="24" t="n">
        <x:v>81</x:v>
      </x:c>
      <x:c r="B82" s="24" t="str">
        <x:v>MP2-L-014</x:v>
      </x:c>
      <x:c r="C82" s="24" t="str">
        <x:v>Siswa MP2 L-014</x:v>
      </x:c>
      <x:c r="D82" s="24" t="str">
        <x:v>MP / Manajemen Perkantoran</x:v>
      </x:c>
      <x:c r="E82" s="24" t="str">
        <x:v>MP 2</x:v>
      </x:c>
      <x:c r="F82" s="24" t="str">
        <x:v>Laki-laki</x:v>
      </x:c>
      <x:c r="G82" s="24" t="str">
        <x:v>Minat</x:v>
      </x:c>
      <x:c r="H82" s="26" t="n">
        <x:f>Probabilitas!$C$4*INDEX(Probabilitas!$C$10:$C$11,MATCH(D82,Probabilitas!$A$10:$A$11,0))*INDEX(Probabilitas!$C$16:$C$22,MATCH(E82,Probabilitas!$A$16:$A$22,0))*INDEX(Probabilitas!$C$27:$C$28,MATCH(F82,Probabilitas!$A$27:$A$28,0))</x:f>
        <x:v>0.053541134730526116</x:v>
      </x:c>
      <x:c r="I82" s="26" t="n">
        <x:f>Probabilitas!$C$5*INDEX(Probabilitas!$E$10:$E$11,MATCH(D82,Probabilitas!$A$10:$A$11,0))*INDEX(Probabilitas!$E$16:$E$22,MATCH(E82,Probabilitas!$A$16:$A$22,0))*INDEX(Probabilitas!$E$27:$E$28,MATCH(F82,Probabilitas!$A$27:$A$28,0))</x:f>
        <x:v>0.000004548037824451806</x:v>
      </x:c>
      <x:c r="J82" s="26" t="n">
        <x:f>IFERROR(H82/(H82+I82),0)</x:f>
        <x:v>0.9999150624739602</x:v>
      </x:c>
      <x:c r="K82" s="26" t="n">
        <x:f>IFERROR(I82/(H82+I82),0)</x:f>
        <x:v>0.00008493752603972827</x:v>
      </x:c>
      <x:c r="L82" s="24" t="str">
        <x:f>IF(J82&gt;=K82,"Minat","Tidak minat")</x:f>
        <x:v>Minat</x:v>
      </x:c>
      <x:c r="M82" s="24" t="str">
        <x:f>IF(L82=G82,"Sesuai label latih","Berbeda dari label latih")</x:f>
        <x:v>Sesuai label latih</x:v>
      </x:c>
    </x:row>
    <x:row r="83">
      <x:c r="A83" s="24" t="n">
        <x:v>82</x:v>
      </x:c>
      <x:c r="B83" s="24" t="str">
        <x:v>MP2-L-015</x:v>
      </x:c>
      <x:c r="C83" s="24" t="str">
        <x:v>Siswa MP2 L-015</x:v>
      </x:c>
      <x:c r="D83" s="24" t="str">
        <x:v>MP / Manajemen Perkantoran</x:v>
      </x:c>
      <x:c r="E83" s="24" t="str">
        <x:v>MP 2</x:v>
      </x:c>
      <x:c r="F83" s="24" t="str">
        <x:v>Laki-laki</x:v>
      </x:c>
      <x:c r="G83" s="24" t="str">
        <x:v>Minat</x:v>
      </x:c>
      <x:c r="H83" s="26" t="n">
        <x:f>Probabilitas!$C$4*INDEX(Probabilitas!$C$10:$C$11,MATCH(D83,Probabilitas!$A$10:$A$11,0))*INDEX(Probabilitas!$C$16:$C$22,MATCH(E83,Probabilitas!$A$16:$A$22,0))*INDEX(Probabilitas!$C$27:$C$28,MATCH(F83,Probabilitas!$A$27:$A$28,0))</x:f>
        <x:v>0.053541134730526116</x:v>
      </x:c>
      <x:c r="I83" s="26" t="n">
        <x:f>Probabilitas!$C$5*INDEX(Probabilitas!$E$10:$E$11,MATCH(D83,Probabilitas!$A$10:$A$11,0))*INDEX(Probabilitas!$E$16:$E$22,MATCH(E83,Probabilitas!$A$16:$A$22,0))*INDEX(Probabilitas!$E$27:$E$28,MATCH(F83,Probabilitas!$A$27:$A$28,0))</x:f>
        <x:v>0.000004548037824451806</x:v>
      </x:c>
      <x:c r="J83" s="26" t="n">
        <x:f>IFERROR(H83/(H83+I83),0)</x:f>
        <x:v>0.9999150624739602</x:v>
      </x:c>
      <x:c r="K83" s="26" t="n">
        <x:f>IFERROR(I83/(H83+I83),0)</x:f>
        <x:v>0.00008493752603972827</x:v>
      </x:c>
      <x:c r="L83" s="24" t="str">
        <x:f>IF(J83&gt;=K83,"Minat","Tidak minat")</x:f>
        <x:v>Minat</x:v>
      </x:c>
      <x:c r="M83" s="24" t="str">
        <x:f>IF(L83=G83,"Sesuai label latih","Berbeda dari label latih")</x:f>
        <x:v>Sesuai label latih</x:v>
      </x:c>
    </x:row>
    <x:row r="84">
      <x:c r="A84" s="24" t="n">
        <x:v>83</x:v>
      </x:c>
      <x:c r="B84" s="24" t="str">
        <x:v>MP2-L-016</x:v>
      </x:c>
      <x:c r="C84" s="24" t="str">
        <x:v>Siswa MP2 L-016</x:v>
      </x:c>
      <x:c r="D84" s="24" t="str">
        <x:v>MP / Manajemen Perkantoran</x:v>
      </x:c>
      <x:c r="E84" s="24" t="str">
        <x:v>MP 2</x:v>
      </x:c>
      <x:c r="F84" s="24" t="str">
        <x:v>Laki-laki</x:v>
      </x:c>
      <x:c r="G84" s="24" t="str">
        <x:v>Minat</x:v>
      </x:c>
      <x:c r="H84" s="26" t="n">
        <x:f>Probabilitas!$C$4*INDEX(Probabilitas!$C$10:$C$11,MATCH(D84,Probabilitas!$A$10:$A$11,0))*INDEX(Probabilitas!$C$16:$C$22,MATCH(E84,Probabilitas!$A$16:$A$22,0))*INDEX(Probabilitas!$C$27:$C$28,MATCH(F84,Probabilitas!$A$27:$A$28,0))</x:f>
        <x:v>0.053541134730526116</x:v>
      </x:c>
      <x:c r="I84" s="26" t="n">
        <x:f>Probabilitas!$C$5*INDEX(Probabilitas!$E$10:$E$11,MATCH(D84,Probabilitas!$A$10:$A$11,0))*INDEX(Probabilitas!$E$16:$E$22,MATCH(E84,Probabilitas!$A$16:$A$22,0))*INDEX(Probabilitas!$E$27:$E$28,MATCH(F84,Probabilitas!$A$27:$A$28,0))</x:f>
        <x:v>0.000004548037824451806</x:v>
      </x:c>
      <x:c r="J84" s="26" t="n">
        <x:f>IFERROR(H84/(H84+I84),0)</x:f>
        <x:v>0.9999150624739602</x:v>
      </x:c>
      <x:c r="K84" s="26" t="n">
        <x:f>IFERROR(I84/(H84+I84),0)</x:f>
        <x:v>0.00008493752603972827</x:v>
      </x:c>
      <x:c r="L84" s="24" t="str">
        <x:f>IF(J84&gt;=K84,"Minat","Tidak minat")</x:f>
        <x:v>Minat</x:v>
      </x:c>
      <x:c r="M84" s="24" t="str">
        <x:f>IF(L84=G84,"Sesuai label latih","Berbeda dari label latih")</x:f>
        <x:v>Sesuai label latih</x:v>
      </x:c>
    </x:row>
    <x:row r="85">
      <x:c r="A85" s="24" t="n">
        <x:v>84</x:v>
      </x:c>
      <x:c r="B85" s="24" t="str">
        <x:v>MP2-L-017</x:v>
      </x:c>
      <x:c r="C85" s="24" t="str">
        <x:v>Siswa MP2 L-017</x:v>
      </x:c>
      <x:c r="D85" s="24" t="str">
        <x:v>MP / Manajemen Perkantoran</x:v>
      </x:c>
      <x:c r="E85" s="24" t="str">
        <x:v>MP 2</x:v>
      </x:c>
      <x:c r="F85" s="24" t="str">
        <x:v>Laki-laki</x:v>
      </x:c>
      <x:c r="G85" s="24" t="str">
        <x:v>Minat</x:v>
      </x:c>
      <x:c r="H85" s="26" t="n">
        <x:f>Probabilitas!$C$4*INDEX(Probabilitas!$C$10:$C$11,MATCH(D85,Probabilitas!$A$10:$A$11,0))*INDEX(Probabilitas!$C$16:$C$22,MATCH(E85,Probabilitas!$A$16:$A$22,0))*INDEX(Probabilitas!$C$27:$C$28,MATCH(F85,Probabilitas!$A$27:$A$28,0))</x:f>
        <x:v>0.053541134730526116</x:v>
      </x:c>
      <x:c r="I85" s="26" t="n">
        <x:f>Probabilitas!$C$5*INDEX(Probabilitas!$E$10:$E$11,MATCH(D85,Probabilitas!$A$10:$A$11,0))*INDEX(Probabilitas!$E$16:$E$22,MATCH(E85,Probabilitas!$A$16:$A$22,0))*INDEX(Probabilitas!$E$27:$E$28,MATCH(F85,Probabilitas!$A$27:$A$28,0))</x:f>
        <x:v>0.000004548037824451806</x:v>
      </x:c>
      <x:c r="J85" s="26" t="n">
        <x:f>IFERROR(H85/(H85+I85),0)</x:f>
        <x:v>0.9999150624739602</x:v>
      </x:c>
      <x:c r="K85" s="26" t="n">
        <x:f>IFERROR(I85/(H85+I85),0)</x:f>
        <x:v>0.00008493752603972827</x:v>
      </x:c>
      <x:c r="L85" s="24" t="str">
        <x:f>IF(J85&gt;=K85,"Minat","Tidak minat")</x:f>
        <x:v>Minat</x:v>
      </x:c>
      <x:c r="M85" s="24" t="str">
        <x:f>IF(L85=G85,"Sesuai label latih","Berbeda dari label latih")</x:f>
        <x:v>Sesuai label latih</x:v>
      </x:c>
    </x:row>
    <x:row r="86">
      <x:c r="A86" s="24" t="n">
        <x:v>85</x:v>
      </x:c>
      <x:c r="B86" s="24" t="str">
        <x:v>MP2-L-018</x:v>
      </x:c>
      <x:c r="C86" s="24" t="str">
        <x:v>Siswa MP2 L-018</x:v>
      </x:c>
      <x:c r="D86" s="24" t="str">
        <x:v>MP / Manajemen Perkantoran</x:v>
      </x:c>
      <x:c r="E86" s="24" t="str">
        <x:v>MP 2</x:v>
      </x:c>
      <x:c r="F86" s="24" t="str">
        <x:v>Laki-laki</x:v>
      </x:c>
      <x:c r="G86" s="24" t="str">
        <x:v>Minat</x:v>
      </x:c>
      <x:c r="H86" s="26" t="n">
        <x:f>Probabilitas!$C$4*INDEX(Probabilitas!$C$10:$C$11,MATCH(D86,Probabilitas!$A$10:$A$11,0))*INDEX(Probabilitas!$C$16:$C$22,MATCH(E86,Probabilitas!$A$16:$A$22,0))*INDEX(Probabilitas!$C$27:$C$28,MATCH(F86,Probabilitas!$A$27:$A$28,0))</x:f>
        <x:v>0.053541134730526116</x:v>
      </x:c>
      <x:c r="I86" s="26" t="n">
        <x:f>Probabilitas!$C$5*INDEX(Probabilitas!$E$10:$E$11,MATCH(D86,Probabilitas!$A$10:$A$11,0))*INDEX(Probabilitas!$E$16:$E$22,MATCH(E86,Probabilitas!$A$16:$A$22,0))*INDEX(Probabilitas!$E$27:$E$28,MATCH(F86,Probabilitas!$A$27:$A$28,0))</x:f>
        <x:v>0.000004548037824451806</x:v>
      </x:c>
      <x:c r="J86" s="26" t="n">
        <x:f>IFERROR(H86/(H86+I86),0)</x:f>
        <x:v>0.9999150624739602</x:v>
      </x:c>
      <x:c r="K86" s="26" t="n">
        <x:f>IFERROR(I86/(H86+I86),0)</x:f>
        <x:v>0.00008493752603972827</x:v>
      </x:c>
      <x:c r="L86" s="24" t="str">
        <x:f>IF(J86&gt;=K86,"Minat","Tidak minat")</x:f>
        <x:v>Minat</x:v>
      </x:c>
      <x:c r="M86" s="24" t="str">
        <x:f>IF(L86=G86,"Sesuai label latih","Berbeda dari label latih")</x:f>
        <x:v>Sesuai label latih</x:v>
      </x:c>
    </x:row>
    <x:row r="87">
      <x:c r="A87" s="24" t="n">
        <x:v>86</x:v>
      </x:c>
      <x:c r="B87" s="24" t="str">
        <x:v>MP2-L-019</x:v>
      </x:c>
      <x:c r="C87" s="24" t="str">
        <x:v>Siswa MP2 L-019</x:v>
      </x:c>
      <x:c r="D87" s="24" t="str">
        <x:v>MP / Manajemen Perkantoran</x:v>
      </x:c>
      <x:c r="E87" s="24" t="str">
        <x:v>MP 2</x:v>
      </x:c>
      <x:c r="F87" s="24" t="str">
        <x:v>Laki-laki</x:v>
      </x:c>
      <x:c r="G87" s="24" t="str">
        <x:v>Minat</x:v>
      </x:c>
      <x:c r="H87" s="26" t="n">
        <x:f>Probabilitas!$C$4*INDEX(Probabilitas!$C$10:$C$11,MATCH(D87,Probabilitas!$A$10:$A$11,0))*INDEX(Probabilitas!$C$16:$C$22,MATCH(E87,Probabilitas!$A$16:$A$22,0))*INDEX(Probabilitas!$C$27:$C$28,MATCH(F87,Probabilitas!$A$27:$A$28,0))</x:f>
        <x:v>0.053541134730526116</x:v>
      </x:c>
      <x:c r="I87" s="26" t="n">
        <x:f>Probabilitas!$C$5*INDEX(Probabilitas!$E$10:$E$11,MATCH(D87,Probabilitas!$A$10:$A$11,0))*INDEX(Probabilitas!$E$16:$E$22,MATCH(E87,Probabilitas!$A$16:$A$22,0))*INDEX(Probabilitas!$E$27:$E$28,MATCH(F87,Probabilitas!$A$27:$A$28,0))</x:f>
        <x:v>0.000004548037824451806</x:v>
      </x:c>
      <x:c r="J87" s="26" t="n">
        <x:f>IFERROR(H87/(H87+I87),0)</x:f>
        <x:v>0.9999150624739602</x:v>
      </x:c>
      <x:c r="K87" s="26" t="n">
        <x:f>IFERROR(I87/(H87+I87),0)</x:f>
        <x:v>0.00008493752603972827</x:v>
      </x:c>
      <x:c r="L87" s="24" t="str">
        <x:f>IF(J87&gt;=K87,"Minat","Tidak minat")</x:f>
        <x:v>Minat</x:v>
      </x:c>
      <x:c r="M87" s="24" t="str">
        <x:f>IF(L87=G87,"Sesuai label latih","Berbeda dari label latih")</x:f>
        <x:v>Sesuai label latih</x:v>
      </x:c>
    </x:row>
    <x:row r="88">
      <x:c r="A88" s="24" t="n">
        <x:v>87</x:v>
      </x:c>
      <x:c r="B88" s="24" t="str">
        <x:v>MP2-L-020</x:v>
      </x:c>
      <x:c r="C88" s="24" t="str">
        <x:v>Siswa MP2 L-020</x:v>
      </x:c>
      <x:c r="D88" s="24" t="str">
        <x:v>MP / Manajemen Perkantoran</x:v>
      </x:c>
      <x:c r="E88" s="24" t="str">
        <x:v>MP 2</x:v>
      </x:c>
      <x:c r="F88" s="24" t="str">
        <x:v>Laki-laki</x:v>
      </x:c>
      <x:c r="G88" s="24" t="str">
        <x:v>Minat</x:v>
      </x:c>
      <x:c r="H88" s="26" t="n">
        <x:f>Probabilitas!$C$4*INDEX(Probabilitas!$C$10:$C$11,MATCH(D88,Probabilitas!$A$10:$A$11,0))*INDEX(Probabilitas!$C$16:$C$22,MATCH(E88,Probabilitas!$A$16:$A$22,0))*INDEX(Probabilitas!$C$27:$C$28,MATCH(F88,Probabilitas!$A$27:$A$28,0))</x:f>
        <x:v>0.053541134730526116</x:v>
      </x:c>
      <x:c r="I88" s="26" t="n">
        <x:f>Probabilitas!$C$5*INDEX(Probabilitas!$E$10:$E$11,MATCH(D88,Probabilitas!$A$10:$A$11,0))*INDEX(Probabilitas!$E$16:$E$22,MATCH(E88,Probabilitas!$A$16:$A$22,0))*INDEX(Probabilitas!$E$27:$E$28,MATCH(F88,Probabilitas!$A$27:$A$28,0))</x:f>
        <x:v>0.000004548037824451806</x:v>
      </x:c>
      <x:c r="J88" s="26" t="n">
        <x:f>IFERROR(H88/(H88+I88),0)</x:f>
        <x:v>0.9999150624739602</x:v>
      </x:c>
      <x:c r="K88" s="26" t="n">
        <x:f>IFERROR(I88/(H88+I88),0)</x:f>
        <x:v>0.00008493752603972827</x:v>
      </x:c>
      <x:c r="L88" s="24" t="str">
        <x:f>IF(J88&gt;=K88,"Minat","Tidak minat")</x:f>
        <x:v>Minat</x:v>
      </x:c>
      <x:c r="M88" s="24" t="str">
        <x:f>IF(L88=G88,"Sesuai label latih","Berbeda dari label latih")</x:f>
        <x:v>Sesuai label latih</x:v>
      </x:c>
    </x:row>
    <x:row r="89">
      <x:c r="A89" s="24" t="n">
        <x:v>88</x:v>
      </x:c>
      <x:c r="B89" s="24" t="str">
        <x:v>MP2-L-021</x:v>
      </x:c>
      <x:c r="C89" s="24" t="str">
        <x:v>Siswa MP2 L-021</x:v>
      </x:c>
      <x:c r="D89" s="24" t="str">
        <x:v>MP / Manajemen Perkantoran</x:v>
      </x:c>
      <x:c r="E89" s="24" t="str">
        <x:v>MP 2</x:v>
      </x:c>
      <x:c r="F89" s="24" t="str">
        <x:v>Laki-laki</x:v>
      </x:c>
      <x:c r="G89" s="24" t="str">
        <x:v>Minat</x:v>
      </x:c>
      <x:c r="H89" s="26" t="n">
        <x:f>Probabilitas!$C$4*INDEX(Probabilitas!$C$10:$C$11,MATCH(D89,Probabilitas!$A$10:$A$11,0))*INDEX(Probabilitas!$C$16:$C$22,MATCH(E89,Probabilitas!$A$16:$A$22,0))*INDEX(Probabilitas!$C$27:$C$28,MATCH(F89,Probabilitas!$A$27:$A$28,0))</x:f>
        <x:v>0.053541134730526116</x:v>
      </x:c>
      <x:c r="I89" s="26" t="n">
        <x:f>Probabilitas!$C$5*INDEX(Probabilitas!$E$10:$E$11,MATCH(D89,Probabilitas!$A$10:$A$11,0))*INDEX(Probabilitas!$E$16:$E$22,MATCH(E89,Probabilitas!$A$16:$A$22,0))*INDEX(Probabilitas!$E$27:$E$28,MATCH(F89,Probabilitas!$A$27:$A$28,0))</x:f>
        <x:v>0.000004548037824451806</x:v>
      </x:c>
      <x:c r="J89" s="26" t="n">
        <x:f>IFERROR(H89/(H89+I89),0)</x:f>
        <x:v>0.9999150624739602</x:v>
      </x:c>
      <x:c r="K89" s="26" t="n">
        <x:f>IFERROR(I89/(H89+I89),0)</x:f>
        <x:v>0.00008493752603972827</x:v>
      </x:c>
      <x:c r="L89" s="24" t="str">
        <x:f>IF(J89&gt;=K89,"Minat","Tidak minat")</x:f>
        <x:v>Minat</x:v>
      </x:c>
      <x:c r="M89" s="24" t="str">
        <x:f>IF(L89=G89,"Sesuai label latih","Berbeda dari label latih")</x:f>
        <x:v>Sesuai label latih</x:v>
      </x:c>
    </x:row>
    <x:row r="90">
      <x:c r="A90" s="24" t="n">
        <x:v>89</x:v>
      </x:c>
      <x:c r="B90" s="24" t="str">
        <x:v>MP2-L-022</x:v>
      </x:c>
      <x:c r="C90" s="24" t="str">
        <x:v>Siswa MP2 L-022</x:v>
      </x:c>
      <x:c r="D90" s="24" t="str">
        <x:v>MP / Manajemen Perkantoran</x:v>
      </x:c>
      <x:c r="E90" s="24" t="str">
        <x:v>MP 2</x:v>
      </x:c>
      <x:c r="F90" s="24" t="str">
        <x:v>Laki-laki</x:v>
      </x:c>
      <x:c r="G90" s="24" t="str">
        <x:v>Minat</x:v>
      </x:c>
      <x:c r="H90" s="26" t="n">
        <x:f>Probabilitas!$C$4*INDEX(Probabilitas!$C$10:$C$11,MATCH(D90,Probabilitas!$A$10:$A$11,0))*INDEX(Probabilitas!$C$16:$C$22,MATCH(E90,Probabilitas!$A$16:$A$22,0))*INDEX(Probabilitas!$C$27:$C$28,MATCH(F90,Probabilitas!$A$27:$A$28,0))</x:f>
        <x:v>0.053541134730526116</x:v>
      </x:c>
      <x:c r="I90" s="26" t="n">
        <x:f>Probabilitas!$C$5*INDEX(Probabilitas!$E$10:$E$11,MATCH(D90,Probabilitas!$A$10:$A$11,0))*INDEX(Probabilitas!$E$16:$E$22,MATCH(E90,Probabilitas!$A$16:$A$22,0))*INDEX(Probabilitas!$E$27:$E$28,MATCH(F90,Probabilitas!$A$27:$A$28,0))</x:f>
        <x:v>0.000004548037824451806</x:v>
      </x:c>
      <x:c r="J90" s="26" t="n">
        <x:f>IFERROR(H90/(H90+I90),0)</x:f>
        <x:v>0.9999150624739602</x:v>
      </x:c>
      <x:c r="K90" s="26" t="n">
        <x:f>IFERROR(I90/(H90+I90),0)</x:f>
        <x:v>0.00008493752603972827</x:v>
      </x:c>
      <x:c r="L90" s="24" t="str">
        <x:f>IF(J90&gt;=K90,"Minat","Tidak minat")</x:f>
        <x:v>Minat</x:v>
      </x:c>
      <x:c r="M90" s="24" t="str">
        <x:f>IF(L90=G90,"Sesuai label latih","Berbeda dari label latih")</x:f>
        <x:v>Sesuai label latih</x:v>
      </x:c>
    </x:row>
    <x:row r="91">
      <x:c r="A91" s="24" t="n">
        <x:v>90</x:v>
      </x:c>
      <x:c r="B91" s="24" t="str">
        <x:v>MP2-L-023</x:v>
      </x:c>
      <x:c r="C91" s="24" t="str">
        <x:v>Siswa MP2 L-023</x:v>
      </x:c>
      <x:c r="D91" s="24" t="str">
        <x:v>MP / Manajemen Perkantoran</x:v>
      </x:c>
      <x:c r="E91" s="24" t="str">
        <x:v>MP 2</x:v>
      </x:c>
      <x:c r="F91" s="24" t="str">
        <x:v>Laki-laki</x:v>
      </x:c>
      <x:c r="G91" s="24" t="str">
        <x:v>Minat</x:v>
      </x:c>
      <x:c r="H91" s="26" t="n">
        <x:f>Probabilitas!$C$4*INDEX(Probabilitas!$C$10:$C$11,MATCH(D91,Probabilitas!$A$10:$A$11,0))*INDEX(Probabilitas!$C$16:$C$22,MATCH(E91,Probabilitas!$A$16:$A$22,0))*INDEX(Probabilitas!$C$27:$C$28,MATCH(F91,Probabilitas!$A$27:$A$28,0))</x:f>
        <x:v>0.053541134730526116</x:v>
      </x:c>
      <x:c r="I91" s="26" t="n">
        <x:f>Probabilitas!$C$5*INDEX(Probabilitas!$E$10:$E$11,MATCH(D91,Probabilitas!$A$10:$A$11,0))*INDEX(Probabilitas!$E$16:$E$22,MATCH(E91,Probabilitas!$A$16:$A$22,0))*INDEX(Probabilitas!$E$27:$E$28,MATCH(F91,Probabilitas!$A$27:$A$28,0))</x:f>
        <x:v>0.000004548037824451806</x:v>
      </x:c>
      <x:c r="J91" s="26" t="n">
        <x:f>IFERROR(H91/(H91+I91),0)</x:f>
        <x:v>0.9999150624739602</x:v>
      </x:c>
      <x:c r="K91" s="26" t="n">
        <x:f>IFERROR(I91/(H91+I91),0)</x:f>
        <x:v>0.00008493752603972827</x:v>
      </x:c>
      <x:c r="L91" s="24" t="str">
        <x:f>IF(J91&gt;=K91,"Minat","Tidak minat")</x:f>
        <x:v>Minat</x:v>
      </x:c>
      <x:c r="M91" s="24" t="str">
        <x:f>IF(L91=G91,"Sesuai label latih","Berbeda dari label latih")</x:f>
        <x:v>Sesuai label latih</x:v>
      </x:c>
    </x:row>
    <x:row r="92">
      <x:c r="A92" s="24" t="n">
        <x:v>91</x:v>
      </x:c>
      <x:c r="B92" s="24" t="str">
        <x:v>MP2-L-024</x:v>
      </x:c>
      <x:c r="C92" s="24" t="str">
        <x:v>Siswa MP2 L-024</x:v>
      </x:c>
      <x:c r="D92" s="24" t="str">
        <x:v>MP / Manajemen Perkantoran</x:v>
      </x:c>
      <x:c r="E92" s="24" t="str">
        <x:v>MP 2</x:v>
      </x:c>
      <x:c r="F92" s="24" t="str">
        <x:v>Laki-laki</x:v>
      </x:c>
      <x:c r="G92" s="24" t="str">
        <x:v>Minat</x:v>
      </x:c>
      <x:c r="H92" s="26" t="n">
        <x:f>Probabilitas!$C$4*INDEX(Probabilitas!$C$10:$C$11,MATCH(D92,Probabilitas!$A$10:$A$11,0))*INDEX(Probabilitas!$C$16:$C$22,MATCH(E92,Probabilitas!$A$16:$A$22,0))*INDEX(Probabilitas!$C$27:$C$28,MATCH(F92,Probabilitas!$A$27:$A$28,0))</x:f>
        <x:v>0.053541134730526116</x:v>
      </x:c>
      <x:c r="I92" s="26" t="n">
        <x:f>Probabilitas!$C$5*INDEX(Probabilitas!$E$10:$E$11,MATCH(D92,Probabilitas!$A$10:$A$11,0))*INDEX(Probabilitas!$E$16:$E$22,MATCH(E92,Probabilitas!$A$16:$A$22,0))*INDEX(Probabilitas!$E$27:$E$28,MATCH(F92,Probabilitas!$A$27:$A$28,0))</x:f>
        <x:v>0.000004548037824451806</x:v>
      </x:c>
      <x:c r="J92" s="26" t="n">
        <x:f>IFERROR(H92/(H92+I92),0)</x:f>
        <x:v>0.9999150624739602</x:v>
      </x:c>
      <x:c r="K92" s="26" t="n">
        <x:f>IFERROR(I92/(H92+I92),0)</x:f>
        <x:v>0.00008493752603972827</x:v>
      </x:c>
      <x:c r="L92" s="24" t="str">
        <x:f>IF(J92&gt;=K92,"Minat","Tidak minat")</x:f>
        <x:v>Minat</x:v>
      </x:c>
      <x:c r="M92" s="24" t="str">
        <x:f>IF(L92=G92,"Sesuai label latih","Berbeda dari label latih")</x:f>
        <x:v>Sesuai label latih</x:v>
      </x:c>
    </x:row>
    <x:row r="93">
      <x:c r="A93" s="24" t="n">
        <x:v>92</x:v>
      </x:c>
      <x:c r="B93" s="24" t="str">
        <x:v>MP2-L-025</x:v>
      </x:c>
      <x:c r="C93" s="24" t="str">
        <x:v>Siswa MP2 L-025</x:v>
      </x:c>
      <x:c r="D93" s="24" t="str">
        <x:v>MP / Manajemen Perkantoran</x:v>
      </x:c>
      <x:c r="E93" s="24" t="str">
        <x:v>MP 2</x:v>
      </x:c>
      <x:c r="F93" s="24" t="str">
        <x:v>Laki-laki</x:v>
      </x:c>
      <x:c r="G93" s="24" t="str">
        <x:v>Minat</x:v>
      </x:c>
      <x:c r="H93" s="26" t="n">
        <x:f>Probabilitas!$C$4*INDEX(Probabilitas!$C$10:$C$11,MATCH(D93,Probabilitas!$A$10:$A$11,0))*INDEX(Probabilitas!$C$16:$C$22,MATCH(E93,Probabilitas!$A$16:$A$22,0))*INDEX(Probabilitas!$C$27:$C$28,MATCH(F93,Probabilitas!$A$27:$A$28,0))</x:f>
        <x:v>0.053541134730526116</x:v>
      </x:c>
      <x:c r="I93" s="26" t="n">
        <x:f>Probabilitas!$C$5*INDEX(Probabilitas!$E$10:$E$11,MATCH(D93,Probabilitas!$A$10:$A$11,0))*INDEX(Probabilitas!$E$16:$E$22,MATCH(E93,Probabilitas!$A$16:$A$22,0))*INDEX(Probabilitas!$E$27:$E$28,MATCH(F93,Probabilitas!$A$27:$A$28,0))</x:f>
        <x:v>0.000004548037824451806</x:v>
      </x:c>
      <x:c r="J93" s="26" t="n">
        <x:f>IFERROR(H93/(H93+I93),0)</x:f>
        <x:v>0.9999150624739602</x:v>
      </x:c>
      <x:c r="K93" s="26" t="n">
        <x:f>IFERROR(I93/(H93+I93),0)</x:f>
        <x:v>0.00008493752603972827</x:v>
      </x:c>
      <x:c r="L93" s="24" t="str">
        <x:f>IF(J93&gt;=K93,"Minat","Tidak minat")</x:f>
        <x:v>Minat</x:v>
      </x:c>
      <x:c r="M93" s="24" t="str">
        <x:f>IF(L93=G93,"Sesuai label latih","Berbeda dari label latih")</x:f>
        <x:v>Sesuai label latih</x:v>
      </x:c>
    </x:row>
    <x:row r="94">
      <x:c r="A94" s="24" t="n">
        <x:v>93</x:v>
      </x:c>
      <x:c r="B94" s="24" t="str">
        <x:v>MP2-L-026</x:v>
      </x:c>
      <x:c r="C94" s="24" t="str">
        <x:v>Siswa MP2 L-026</x:v>
      </x:c>
      <x:c r="D94" s="24" t="str">
        <x:v>MP / Manajemen Perkantoran</x:v>
      </x:c>
      <x:c r="E94" s="24" t="str">
        <x:v>MP 2</x:v>
      </x:c>
      <x:c r="F94" s="24" t="str">
        <x:v>Laki-laki</x:v>
      </x:c>
      <x:c r="G94" s="24" t="str">
        <x:v>Minat</x:v>
      </x:c>
      <x:c r="H94" s="26" t="n">
        <x:f>Probabilitas!$C$4*INDEX(Probabilitas!$C$10:$C$11,MATCH(D94,Probabilitas!$A$10:$A$11,0))*INDEX(Probabilitas!$C$16:$C$22,MATCH(E94,Probabilitas!$A$16:$A$22,0))*INDEX(Probabilitas!$C$27:$C$28,MATCH(F94,Probabilitas!$A$27:$A$28,0))</x:f>
        <x:v>0.053541134730526116</x:v>
      </x:c>
      <x:c r="I94" s="26" t="n">
        <x:f>Probabilitas!$C$5*INDEX(Probabilitas!$E$10:$E$11,MATCH(D94,Probabilitas!$A$10:$A$11,0))*INDEX(Probabilitas!$E$16:$E$22,MATCH(E94,Probabilitas!$A$16:$A$22,0))*INDEX(Probabilitas!$E$27:$E$28,MATCH(F94,Probabilitas!$A$27:$A$28,0))</x:f>
        <x:v>0.000004548037824451806</x:v>
      </x:c>
      <x:c r="J94" s="26" t="n">
        <x:f>IFERROR(H94/(H94+I94),0)</x:f>
        <x:v>0.9999150624739602</x:v>
      </x:c>
      <x:c r="K94" s="26" t="n">
        <x:f>IFERROR(I94/(H94+I94),0)</x:f>
        <x:v>0.00008493752603972827</x:v>
      </x:c>
      <x:c r="L94" s="24" t="str">
        <x:f>IF(J94&gt;=K94,"Minat","Tidak minat")</x:f>
        <x:v>Minat</x:v>
      </x:c>
      <x:c r="M94" s="24" t="str">
        <x:f>IF(L94=G94,"Sesuai label latih","Berbeda dari label latih")</x:f>
        <x:v>Sesuai label latih</x:v>
      </x:c>
    </x:row>
    <x:row r="95">
      <x:c r="A95" s="24" t="n">
        <x:v>94</x:v>
      </x:c>
      <x:c r="B95" s="24" t="str">
        <x:v>MP2-L-027</x:v>
      </x:c>
      <x:c r="C95" s="24" t="str">
        <x:v>Siswa MP2 L-027</x:v>
      </x:c>
      <x:c r="D95" s="24" t="str">
        <x:v>MP / Manajemen Perkantoran</x:v>
      </x:c>
      <x:c r="E95" s="24" t="str">
        <x:v>MP 2</x:v>
      </x:c>
      <x:c r="F95" s="24" t="str">
        <x:v>Laki-laki</x:v>
      </x:c>
      <x:c r="G95" s="24" t="str">
        <x:v>Minat</x:v>
      </x:c>
      <x:c r="H95" s="26" t="n">
        <x:f>Probabilitas!$C$4*INDEX(Probabilitas!$C$10:$C$11,MATCH(D95,Probabilitas!$A$10:$A$11,0))*INDEX(Probabilitas!$C$16:$C$22,MATCH(E95,Probabilitas!$A$16:$A$22,0))*INDEX(Probabilitas!$C$27:$C$28,MATCH(F95,Probabilitas!$A$27:$A$28,0))</x:f>
        <x:v>0.053541134730526116</x:v>
      </x:c>
      <x:c r="I95" s="26" t="n">
        <x:f>Probabilitas!$C$5*INDEX(Probabilitas!$E$10:$E$11,MATCH(D95,Probabilitas!$A$10:$A$11,0))*INDEX(Probabilitas!$E$16:$E$22,MATCH(E95,Probabilitas!$A$16:$A$22,0))*INDEX(Probabilitas!$E$27:$E$28,MATCH(F95,Probabilitas!$A$27:$A$28,0))</x:f>
        <x:v>0.000004548037824451806</x:v>
      </x:c>
      <x:c r="J95" s="26" t="n">
        <x:f>IFERROR(H95/(H95+I95),0)</x:f>
        <x:v>0.9999150624739602</x:v>
      </x:c>
      <x:c r="K95" s="26" t="n">
        <x:f>IFERROR(I95/(H95+I95),0)</x:f>
        <x:v>0.00008493752603972827</x:v>
      </x:c>
      <x:c r="L95" s="24" t="str">
        <x:f>IF(J95&gt;=K95,"Minat","Tidak minat")</x:f>
        <x:v>Minat</x:v>
      </x:c>
      <x:c r="M95" s="24" t="str">
        <x:f>IF(L95=G95,"Sesuai label latih","Berbeda dari label latih")</x:f>
        <x:v>Sesuai label latih</x:v>
      </x:c>
    </x:row>
    <x:row r="96">
      <x:c r="A96" s="24" t="n">
        <x:v>95</x:v>
      </x:c>
      <x:c r="B96" s="24" t="str">
        <x:v>MP2-L-028</x:v>
      </x:c>
      <x:c r="C96" s="24" t="str">
        <x:v>Siswa MP2 L-028</x:v>
      </x:c>
      <x:c r="D96" s="24" t="str">
        <x:v>MP / Manajemen Perkantoran</x:v>
      </x:c>
      <x:c r="E96" s="24" t="str">
        <x:v>MP 2</x:v>
      </x:c>
      <x:c r="F96" s="24" t="str">
        <x:v>Laki-laki</x:v>
      </x:c>
      <x:c r="G96" s="24" t="str">
        <x:v>Minat</x:v>
      </x:c>
      <x:c r="H96" s="26" t="n">
        <x:f>Probabilitas!$C$4*INDEX(Probabilitas!$C$10:$C$11,MATCH(D96,Probabilitas!$A$10:$A$11,0))*INDEX(Probabilitas!$C$16:$C$22,MATCH(E96,Probabilitas!$A$16:$A$22,0))*INDEX(Probabilitas!$C$27:$C$28,MATCH(F96,Probabilitas!$A$27:$A$28,0))</x:f>
        <x:v>0.053541134730526116</x:v>
      </x:c>
      <x:c r="I96" s="26" t="n">
        <x:f>Probabilitas!$C$5*INDEX(Probabilitas!$E$10:$E$11,MATCH(D96,Probabilitas!$A$10:$A$11,0))*INDEX(Probabilitas!$E$16:$E$22,MATCH(E96,Probabilitas!$A$16:$A$22,0))*INDEX(Probabilitas!$E$27:$E$28,MATCH(F96,Probabilitas!$A$27:$A$28,0))</x:f>
        <x:v>0.000004548037824451806</x:v>
      </x:c>
      <x:c r="J96" s="26" t="n">
        <x:f>IFERROR(H96/(H96+I96),0)</x:f>
        <x:v>0.9999150624739602</x:v>
      </x:c>
      <x:c r="K96" s="26" t="n">
        <x:f>IFERROR(I96/(H96+I96),0)</x:f>
        <x:v>0.00008493752603972827</x:v>
      </x:c>
      <x:c r="L96" s="24" t="str">
        <x:f>IF(J96&gt;=K96,"Minat","Tidak minat")</x:f>
        <x:v>Minat</x:v>
      </x:c>
      <x:c r="M96" s="24" t="str">
        <x:f>IF(L96=G96,"Sesuai label latih","Berbeda dari label latih")</x:f>
        <x:v>Sesuai label latih</x:v>
      </x:c>
    </x:row>
    <x:row r="97">
      <x:c r="A97" s="24" t="n">
        <x:v>96</x:v>
      </x:c>
      <x:c r="B97" s="24" t="str">
        <x:v>MP2-L-029</x:v>
      </x:c>
      <x:c r="C97" s="24" t="str">
        <x:v>Siswa MP2 L-029</x:v>
      </x:c>
      <x:c r="D97" s="24" t="str">
        <x:v>MP / Manajemen Perkantoran</x:v>
      </x:c>
      <x:c r="E97" s="24" t="str">
        <x:v>MP 2</x:v>
      </x:c>
      <x:c r="F97" s="24" t="str">
        <x:v>Laki-laki</x:v>
      </x:c>
      <x:c r="G97" s="24" t="str">
        <x:v>Minat</x:v>
      </x:c>
      <x:c r="H97" s="26" t="n">
        <x:f>Probabilitas!$C$4*INDEX(Probabilitas!$C$10:$C$11,MATCH(D97,Probabilitas!$A$10:$A$11,0))*INDEX(Probabilitas!$C$16:$C$22,MATCH(E97,Probabilitas!$A$16:$A$22,0))*INDEX(Probabilitas!$C$27:$C$28,MATCH(F97,Probabilitas!$A$27:$A$28,0))</x:f>
        <x:v>0.053541134730526116</x:v>
      </x:c>
      <x:c r="I97" s="26" t="n">
        <x:f>Probabilitas!$C$5*INDEX(Probabilitas!$E$10:$E$11,MATCH(D97,Probabilitas!$A$10:$A$11,0))*INDEX(Probabilitas!$E$16:$E$22,MATCH(E97,Probabilitas!$A$16:$A$22,0))*INDEX(Probabilitas!$E$27:$E$28,MATCH(F97,Probabilitas!$A$27:$A$28,0))</x:f>
        <x:v>0.000004548037824451806</x:v>
      </x:c>
      <x:c r="J97" s="26" t="n">
        <x:f>IFERROR(H97/(H97+I97),0)</x:f>
        <x:v>0.9999150624739602</x:v>
      </x:c>
      <x:c r="K97" s="26" t="n">
        <x:f>IFERROR(I97/(H97+I97),0)</x:f>
        <x:v>0.00008493752603972827</x:v>
      </x:c>
      <x:c r="L97" s="24" t="str">
        <x:f>IF(J97&gt;=K97,"Minat","Tidak minat")</x:f>
        <x:v>Minat</x:v>
      </x:c>
      <x:c r="M97" s="24" t="str">
        <x:f>IF(L97=G97,"Sesuai label latih","Berbeda dari label latih")</x:f>
        <x:v>Sesuai label latih</x:v>
      </x:c>
    </x:row>
    <x:row r="98">
      <x:c r="A98" s="24" t="n">
        <x:v>97</x:v>
      </x:c>
      <x:c r="B98" s="24" t="str">
        <x:v>MP2-L-030</x:v>
      </x:c>
      <x:c r="C98" s="24" t="str">
        <x:v>Siswa MP2 L-030</x:v>
      </x:c>
      <x:c r="D98" s="24" t="str">
        <x:v>MP / Manajemen Perkantoran</x:v>
      </x:c>
      <x:c r="E98" s="24" t="str">
        <x:v>MP 2</x:v>
      </x:c>
      <x:c r="F98" s="24" t="str">
        <x:v>Laki-laki</x:v>
      </x:c>
      <x:c r="G98" s="24" t="str">
        <x:v>Minat</x:v>
      </x:c>
      <x:c r="H98" s="26" t="n">
        <x:f>Probabilitas!$C$4*INDEX(Probabilitas!$C$10:$C$11,MATCH(D98,Probabilitas!$A$10:$A$11,0))*INDEX(Probabilitas!$C$16:$C$22,MATCH(E98,Probabilitas!$A$16:$A$22,0))*INDEX(Probabilitas!$C$27:$C$28,MATCH(F98,Probabilitas!$A$27:$A$28,0))</x:f>
        <x:v>0.053541134730526116</x:v>
      </x:c>
      <x:c r="I98" s="26" t="n">
        <x:f>Probabilitas!$C$5*INDEX(Probabilitas!$E$10:$E$11,MATCH(D98,Probabilitas!$A$10:$A$11,0))*INDEX(Probabilitas!$E$16:$E$22,MATCH(E98,Probabilitas!$A$16:$A$22,0))*INDEX(Probabilitas!$E$27:$E$28,MATCH(F98,Probabilitas!$A$27:$A$28,0))</x:f>
        <x:v>0.000004548037824451806</x:v>
      </x:c>
      <x:c r="J98" s="26" t="n">
        <x:f>IFERROR(H98/(H98+I98),0)</x:f>
        <x:v>0.9999150624739602</x:v>
      </x:c>
      <x:c r="K98" s="26" t="n">
        <x:f>IFERROR(I98/(H98+I98),0)</x:f>
        <x:v>0.00008493752603972827</x:v>
      </x:c>
      <x:c r="L98" s="24" t="str">
        <x:f>IF(J98&gt;=K98,"Minat","Tidak minat")</x:f>
        <x:v>Minat</x:v>
      </x:c>
      <x:c r="M98" s="24" t="str">
        <x:f>IF(L98=G98,"Sesuai label latih","Berbeda dari label latih")</x:f>
        <x:v>Sesuai label latih</x:v>
      </x:c>
    </x:row>
    <x:row r="99">
      <x:c r="A99" s="24" t="n">
        <x:v>98</x:v>
      </x:c>
      <x:c r="B99" s="24" t="str">
        <x:v>MP2-P-001</x:v>
      </x:c>
      <x:c r="C99" s="24" t="str">
        <x:v>Siswa MP2 P-001</x:v>
      </x:c>
      <x:c r="D99" s="24" t="str">
        <x:v>MP / Manajemen Perkantoran</x:v>
      </x:c>
      <x:c r="E99" s="24" t="str">
        <x:v>MP 2</x:v>
      </x:c>
      <x:c r="F99" s="24" t="str">
        <x:v>Perempuan</x:v>
      </x:c>
      <x:c r="G99" s="24" t="str">
        <x:v>Minat</x:v>
      </x:c>
      <x:c r="H99" s="26" t="n">
        <x:f>Probabilitas!$C$4*INDEX(Probabilitas!$C$10:$C$11,MATCH(D99,Probabilitas!$A$10:$A$11,0))*INDEX(Probabilitas!$C$16:$C$22,MATCH(E99,Probabilitas!$A$16:$A$22,0))*INDEX(Probabilitas!$C$27:$C$28,MATCH(F99,Probabilitas!$A$27:$A$28,0))</x:f>
        <x:v>0.051996678920991704</x:v>
      </x:c>
      <x:c r="I99" s="26" t="n">
        <x:f>Probabilitas!$C$5*INDEX(Probabilitas!$E$10:$E$11,MATCH(D99,Probabilitas!$A$10:$A$11,0))*INDEX(Probabilitas!$E$16:$E$22,MATCH(E99,Probabilitas!$A$16:$A$22,0))*INDEX(Probabilitas!$E$27:$E$28,MATCH(F99,Probabilitas!$A$27:$A$28,0))</x:f>
        <x:v>4.198188761032436e-7</x:v>
      </x:c>
      <x:c r="J99" s="26" t="n">
        <x:f>IFERROR(H99/(H99+I99),0)</x:f>
        <x:v>0.9999919261096046</x:v>
      </x:c>
      <x:c r="K99" s="26" t="n">
        <x:f>IFERROR(I99/(H99+I99),0)</x:f>
        <x:v>0.000008073890395376142</x:v>
      </x:c>
      <x:c r="L99" s="24" t="str">
        <x:f>IF(J99&gt;=K99,"Minat","Tidak minat")</x:f>
        <x:v>Minat</x:v>
      </x:c>
      <x:c r="M99" s="24" t="str">
        <x:f>IF(L99=G99,"Sesuai label latih","Berbeda dari label latih")</x:f>
        <x:v>Sesuai label latih</x:v>
      </x:c>
    </x:row>
    <x:row r="100">
      <x:c r="A100" s="24" t="n">
        <x:v>99</x:v>
      </x:c>
      <x:c r="B100" s="24" t="str">
        <x:v>MP2-P-002</x:v>
      </x:c>
      <x:c r="C100" s="24" t="str">
        <x:v>Siswa MP2 P-002</x:v>
      </x:c>
      <x:c r="D100" s="24" t="str">
        <x:v>MP / Manajemen Perkantoran</x:v>
      </x:c>
      <x:c r="E100" s="24" t="str">
        <x:v>MP 2</x:v>
      </x:c>
      <x:c r="F100" s="24" t="str">
        <x:v>Perempuan</x:v>
      </x:c>
      <x:c r="G100" s="24" t="str">
        <x:v>Minat</x:v>
      </x:c>
      <x:c r="H100" s="26" t="n">
        <x:f>Probabilitas!$C$4*INDEX(Probabilitas!$C$10:$C$11,MATCH(D100,Probabilitas!$A$10:$A$11,0))*INDEX(Probabilitas!$C$16:$C$22,MATCH(E100,Probabilitas!$A$16:$A$22,0))*INDEX(Probabilitas!$C$27:$C$28,MATCH(F100,Probabilitas!$A$27:$A$28,0))</x:f>
        <x:v>0.051996678920991704</x:v>
      </x:c>
      <x:c r="I100" s="26" t="n">
        <x:f>Probabilitas!$C$5*INDEX(Probabilitas!$E$10:$E$11,MATCH(D100,Probabilitas!$A$10:$A$11,0))*INDEX(Probabilitas!$E$16:$E$22,MATCH(E100,Probabilitas!$A$16:$A$22,0))*INDEX(Probabilitas!$E$27:$E$28,MATCH(F100,Probabilitas!$A$27:$A$28,0))</x:f>
        <x:v>4.198188761032436e-7</x:v>
      </x:c>
      <x:c r="J100" s="26" t="n">
        <x:f>IFERROR(H100/(H100+I100),0)</x:f>
        <x:v>0.9999919261096046</x:v>
      </x:c>
      <x:c r="K100" s="26" t="n">
        <x:f>IFERROR(I100/(H100+I100),0)</x:f>
        <x:v>0.000008073890395376142</x:v>
      </x:c>
      <x:c r="L100" s="24" t="str">
        <x:f>IF(J100&gt;=K100,"Minat","Tidak minat")</x:f>
        <x:v>Minat</x:v>
      </x:c>
      <x:c r="M100" s="24" t="str">
        <x:f>IF(L100=G100,"Sesuai label latih","Berbeda dari label latih")</x:f>
        <x:v>Sesuai label latih</x:v>
      </x:c>
    </x:row>
    <x:row r="101">
      <x:c r="A101" s="24" t="n">
        <x:v>100</x:v>
      </x:c>
      <x:c r="B101" s="24" t="str">
        <x:v>MP2-P-003</x:v>
      </x:c>
      <x:c r="C101" s="24" t="str">
        <x:v>Siswa MP2 P-003</x:v>
      </x:c>
      <x:c r="D101" s="24" t="str">
        <x:v>MP / Manajemen Perkantoran</x:v>
      </x:c>
      <x:c r="E101" s="24" t="str">
        <x:v>MP 2</x:v>
      </x:c>
      <x:c r="F101" s="24" t="str">
        <x:v>Perempuan</x:v>
      </x:c>
      <x:c r="G101" s="24" t="str">
        <x:v>Minat</x:v>
      </x:c>
      <x:c r="H101" s="26" t="n">
        <x:f>Probabilitas!$C$4*INDEX(Probabilitas!$C$10:$C$11,MATCH(D101,Probabilitas!$A$10:$A$11,0))*INDEX(Probabilitas!$C$16:$C$22,MATCH(E101,Probabilitas!$A$16:$A$22,0))*INDEX(Probabilitas!$C$27:$C$28,MATCH(F101,Probabilitas!$A$27:$A$28,0))</x:f>
        <x:v>0.051996678920991704</x:v>
      </x:c>
      <x:c r="I101" s="26" t="n">
        <x:f>Probabilitas!$C$5*INDEX(Probabilitas!$E$10:$E$11,MATCH(D101,Probabilitas!$A$10:$A$11,0))*INDEX(Probabilitas!$E$16:$E$22,MATCH(E101,Probabilitas!$A$16:$A$22,0))*INDEX(Probabilitas!$E$27:$E$28,MATCH(F101,Probabilitas!$A$27:$A$28,0))</x:f>
        <x:v>4.198188761032436e-7</x:v>
      </x:c>
      <x:c r="J101" s="26" t="n">
        <x:f>IFERROR(H101/(H101+I101),0)</x:f>
        <x:v>0.9999919261096046</x:v>
      </x:c>
      <x:c r="K101" s="26" t="n">
        <x:f>IFERROR(I101/(H101+I101),0)</x:f>
        <x:v>0.000008073890395376142</x:v>
      </x:c>
      <x:c r="L101" s="24" t="str">
        <x:f>IF(J101&gt;=K101,"Minat","Tidak minat")</x:f>
        <x:v>Minat</x:v>
      </x:c>
      <x:c r="M101" s="24" t="str">
        <x:f>IF(L101=G101,"Sesuai label latih","Berbeda dari label latih")</x:f>
        <x:v>Sesuai label latih</x:v>
      </x:c>
    </x:row>
    <x:row r="102">
      <x:c r="A102" s="24" t="n">
        <x:v>101</x:v>
      </x:c>
      <x:c r="B102" s="24" t="str">
        <x:v>MP2-P-004</x:v>
      </x:c>
      <x:c r="C102" s="24" t="str">
        <x:v>Siswa MP2 P-004</x:v>
      </x:c>
      <x:c r="D102" s="24" t="str">
        <x:v>MP / Manajemen Perkantoran</x:v>
      </x:c>
      <x:c r="E102" s="24" t="str">
        <x:v>MP 2</x:v>
      </x:c>
      <x:c r="F102" s="24" t="str">
        <x:v>Perempuan</x:v>
      </x:c>
      <x:c r="G102" s="24" t="str">
        <x:v>Minat</x:v>
      </x:c>
      <x:c r="H102" s="26" t="n">
        <x:f>Probabilitas!$C$4*INDEX(Probabilitas!$C$10:$C$11,MATCH(D102,Probabilitas!$A$10:$A$11,0))*INDEX(Probabilitas!$C$16:$C$22,MATCH(E102,Probabilitas!$A$16:$A$22,0))*INDEX(Probabilitas!$C$27:$C$28,MATCH(F102,Probabilitas!$A$27:$A$28,0))</x:f>
        <x:v>0.051996678920991704</x:v>
      </x:c>
      <x:c r="I102" s="26" t="n">
        <x:f>Probabilitas!$C$5*INDEX(Probabilitas!$E$10:$E$11,MATCH(D102,Probabilitas!$A$10:$A$11,0))*INDEX(Probabilitas!$E$16:$E$22,MATCH(E102,Probabilitas!$A$16:$A$22,0))*INDEX(Probabilitas!$E$27:$E$28,MATCH(F102,Probabilitas!$A$27:$A$28,0))</x:f>
        <x:v>4.198188761032436e-7</x:v>
      </x:c>
      <x:c r="J102" s="26" t="n">
        <x:f>IFERROR(H102/(H102+I102),0)</x:f>
        <x:v>0.9999919261096046</x:v>
      </x:c>
      <x:c r="K102" s="26" t="n">
        <x:f>IFERROR(I102/(H102+I102),0)</x:f>
        <x:v>0.000008073890395376142</x:v>
      </x:c>
      <x:c r="L102" s="24" t="str">
        <x:f>IF(J102&gt;=K102,"Minat","Tidak minat")</x:f>
        <x:v>Minat</x:v>
      </x:c>
      <x:c r="M102" s="24" t="str">
        <x:f>IF(L102=G102,"Sesuai label latih","Berbeda dari label latih")</x:f>
        <x:v>Sesuai label latih</x:v>
      </x:c>
    </x:row>
    <x:row r="103">
      <x:c r="A103" s="24" t="n">
        <x:v>102</x:v>
      </x:c>
      <x:c r="B103" s="24" t="str">
        <x:v>MP2-P-005</x:v>
      </x:c>
      <x:c r="C103" s="24" t="str">
        <x:v>Siswa MP2 P-005</x:v>
      </x:c>
      <x:c r="D103" s="24" t="str">
        <x:v>MP / Manajemen Perkantoran</x:v>
      </x:c>
      <x:c r="E103" s="24" t="str">
        <x:v>MP 2</x:v>
      </x:c>
      <x:c r="F103" s="24" t="str">
        <x:v>Perempuan</x:v>
      </x:c>
      <x:c r="G103" s="24" t="str">
        <x:v>Minat</x:v>
      </x:c>
      <x:c r="H103" s="26" t="n">
        <x:f>Probabilitas!$C$4*INDEX(Probabilitas!$C$10:$C$11,MATCH(D103,Probabilitas!$A$10:$A$11,0))*INDEX(Probabilitas!$C$16:$C$22,MATCH(E103,Probabilitas!$A$16:$A$22,0))*INDEX(Probabilitas!$C$27:$C$28,MATCH(F103,Probabilitas!$A$27:$A$28,0))</x:f>
        <x:v>0.051996678920991704</x:v>
      </x:c>
      <x:c r="I103" s="26" t="n">
        <x:f>Probabilitas!$C$5*INDEX(Probabilitas!$E$10:$E$11,MATCH(D103,Probabilitas!$A$10:$A$11,0))*INDEX(Probabilitas!$E$16:$E$22,MATCH(E103,Probabilitas!$A$16:$A$22,0))*INDEX(Probabilitas!$E$27:$E$28,MATCH(F103,Probabilitas!$A$27:$A$28,0))</x:f>
        <x:v>4.198188761032436e-7</x:v>
      </x:c>
      <x:c r="J103" s="26" t="n">
        <x:f>IFERROR(H103/(H103+I103),0)</x:f>
        <x:v>0.9999919261096046</x:v>
      </x:c>
      <x:c r="K103" s="26" t="n">
        <x:f>IFERROR(I103/(H103+I103),0)</x:f>
        <x:v>0.000008073890395376142</x:v>
      </x:c>
      <x:c r="L103" s="24" t="str">
        <x:f>IF(J103&gt;=K103,"Minat","Tidak minat")</x:f>
        <x:v>Minat</x:v>
      </x:c>
      <x:c r="M103" s="24" t="str">
        <x:f>IF(L103=G103,"Sesuai label latih","Berbeda dari label latih")</x:f>
        <x:v>Sesuai label latih</x:v>
      </x:c>
    </x:row>
    <x:row r="104">
      <x:c r="A104" s="24" t="n">
        <x:v>103</x:v>
      </x:c>
      <x:c r="B104" s="24" t="str">
        <x:v>MP2-P-006</x:v>
      </x:c>
      <x:c r="C104" s="24" t="str">
        <x:v>Siswa MP2 P-006</x:v>
      </x:c>
      <x:c r="D104" s="24" t="str">
        <x:v>MP / Manajemen Perkantoran</x:v>
      </x:c>
      <x:c r="E104" s="24" t="str">
        <x:v>MP 2</x:v>
      </x:c>
      <x:c r="F104" s="24" t="str">
        <x:v>Perempuan</x:v>
      </x:c>
      <x:c r="G104" s="24" t="str">
        <x:v>Minat</x:v>
      </x:c>
      <x:c r="H104" s="26" t="n">
        <x:f>Probabilitas!$C$4*INDEX(Probabilitas!$C$10:$C$11,MATCH(D104,Probabilitas!$A$10:$A$11,0))*INDEX(Probabilitas!$C$16:$C$22,MATCH(E104,Probabilitas!$A$16:$A$22,0))*INDEX(Probabilitas!$C$27:$C$28,MATCH(F104,Probabilitas!$A$27:$A$28,0))</x:f>
        <x:v>0.051996678920991704</x:v>
      </x:c>
      <x:c r="I104" s="26" t="n">
        <x:f>Probabilitas!$C$5*INDEX(Probabilitas!$E$10:$E$11,MATCH(D104,Probabilitas!$A$10:$A$11,0))*INDEX(Probabilitas!$E$16:$E$22,MATCH(E104,Probabilitas!$A$16:$A$22,0))*INDEX(Probabilitas!$E$27:$E$28,MATCH(F104,Probabilitas!$A$27:$A$28,0))</x:f>
        <x:v>4.198188761032436e-7</x:v>
      </x:c>
      <x:c r="J104" s="26" t="n">
        <x:f>IFERROR(H104/(H104+I104),0)</x:f>
        <x:v>0.9999919261096046</x:v>
      </x:c>
      <x:c r="K104" s="26" t="n">
        <x:f>IFERROR(I104/(H104+I104),0)</x:f>
        <x:v>0.000008073890395376142</x:v>
      </x:c>
      <x:c r="L104" s="24" t="str">
        <x:f>IF(J104&gt;=K104,"Minat","Tidak minat")</x:f>
        <x:v>Minat</x:v>
      </x:c>
      <x:c r="M104" s="24" t="str">
        <x:f>IF(L104=G104,"Sesuai label latih","Berbeda dari label latih")</x:f>
        <x:v>Sesuai label latih</x:v>
      </x:c>
    </x:row>
    <x:row r="105">
      <x:c r="A105" s="24" t="n">
        <x:v>104</x:v>
      </x:c>
      <x:c r="B105" s="24" t="str">
        <x:v>MP2-P-007</x:v>
      </x:c>
      <x:c r="C105" s="24" t="str">
        <x:v>Siswa MP2 P-007</x:v>
      </x:c>
      <x:c r="D105" s="24" t="str">
        <x:v>MP / Manajemen Perkantoran</x:v>
      </x:c>
      <x:c r="E105" s="24" t="str">
        <x:v>MP 2</x:v>
      </x:c>
      <x:c r="F105" s="24" t="str">
        <x:v>Perempuan</x:v>
      </x:c>
      <x:c r="G105" s="24" t="str">
        <x:v>Minat</x:v>
      </x:c>
      <x:c r="H105" s="26" t="n">
        <x:f>Probabilitas!$C$4*INDEX(Probabilitas!$C$10:$C$11,MATCH(D105,Probabilitas!$A$10:$A$11,0))*INDEX(Probabilitas!$C$16:$C$22,MATCH(E105,Probabilitas!$A$16:$A$22,0))*INDEX(Probabilitas!$C$27:$C$28,MATCH(F105,Probabilitas!$A$27:$A$28,0))</x:f>
        <x:v>0.051996678920991704</x:v>
      </x:c>
      <x:c r="I105" s="26" t="n">
        <x:f>Probabilitas!$C$5*INDEX(Probabilitas!$E$10:$E$11,MATCH(D105,Probabilitas!$A$10:$A$11,0))*INDEX(Probabilitas!$E$16:$E$22,MATCH(E105,Probabilitas!$A$16:$A$22,0))*INDEX(Probabilitas!$E$27:$E$28,MATCH(F105,Probabilitas!$A$27:$A$28,0))</x:f>
        <x:v>4.198188761032436e-7</x:v>
      </x:c>
      <x:c r="J105" s="26" t="n">
        <x:f>IFERROR(H105/(H105+I105),0)</x:f>
        <x:v>0.9999919261096046</x:v>
      </x:c>
      <x:c r="K105" s="26" t="n">
        <x:f>IFERROR(I105/(H105+I105),0)</x:f>
        <x:v>0.000008073890395376142</x:v>
      </x:c>
      <x:c r="L105" s="24" t="str">
        <x:f>IF(J105&gt;=K105,"Minat","Tidak minat")</x:f>
        <x:v>Minat</x:v>
      </x:c>
      <x:c r="M105" s="24" t="str">
        <x:f>IF(L105=G105,"Sesuai label latih","Berbeda dari label latih")</x:f>
        <x:v>Sesuai label latih</x:v>
      </x:c>
    </x:row>
    <x:row r="106">
      <x:c r="A106" s="24" t="n">
        <x:v>105</x:v>
      </x:c>
      <x:c r="B106" s="24" t="str">
        <x:v>MP2-P-008</x:v>
      </x:c>
      <x:c r="C106" s="24" t="str">
        <x:v>Siswa MP2 P-008</x:v>
      </x:c>
      <x:c r="D106" s="24" t="str">
        <x:v>MP / Manajemen Perkantoran</x:v>
      </x:c>
      <x:c r="E106" s="24" t="str">
        <x:v>MP 2</x:v>
      </x:c>
      <x:c r="F106" s="24" t="str">
        <x:v>Perempuan</x:v>
      </x:c>
      <x:c r="G106" s="24" t="str">
        <x:v>Minat</x:v>
      </x:c>
      <x:c r="H106" s="26" t="n">
        <x:f>Probabilitas!$C$4*INDEX(Probabilitas!$C$10:$C$11,MATCH(D106,Probabilitas!$A$10:$A$11,0))*INDEX(Probabilitas!$C$16:$C$22,MATCH(E106,Probabilitas!$A$16:$A$22,0))*INDEX(Probabilitas!$C$27:$C$28,MATCH(F106,Probabilitas!$A$27:$A$28,0))</x:f>
        <x:v>0.051996678920991704</x:v>
      </x:c>
      <x:c r="I106" s="26" t="n">
        <x:f>Probabilitas!$C$5*INDEX(Probabilitas!$E$10:$E$11,MATCH(D106,Probabilitas!$A$10:$A$11,0))*INDEX(Probabilitas!$E$16:$E$22,MATCH(E106,Probabilitas!$A$16:$A$22,0))*INDEX(Probabilitas!$E$27:$E$28,MATCH(F106,Probabilitas!$A$27:$A$28,0))</x:f>
        <x:v>4.198188761032436e-7</x:v>
      </x:c>
      <x:c r="J106" s="26" t="n">
        <x:f>IFERROR(H106/(H106+I106),0)</x:f>
        <x:v>0.9999919261096046</x:v>
      </x:c>
      <x:c r="K106" s="26" t="n">
        <x:f>IFERROR(I106/(H106+I106),0)</x:f>
        <x:v>0.000008073890395376142</x:v>
      </x:c>
      <x:c r="L106" s="24" t="str">
        <x:f>IF(J106&gt;=K106,"Minat","Tidak minat")</x:f>
        <x:v>Minat</x:v>
      </x:c>
      <x:c r="M106" s="24" t="str">
        <x:f>IF(L106=G106,"Sesuai label latih","Berbeda dari label latih")</x:f>
        <x:v>Sesuai label latih</x:v>
      </x:c>
    </x:row>
    <x:row r="107">
      <x:c r="A107" s="24" t="n">
        <x:v>106</x:v>
      </x:c>
      <x:c r="B107" s="24" t="str">
        <x:v>MP2-P-009</x:v>
      </x:c>
      <x:c r="C107" s="24" t="str">
        <x:v>Siswa MP2 P-009</x:v>
      </x:c>
      <x:c r="D107" s="24" t="str">
        <x:v>MP / Manajemen Perkantoran</x:v>
      </x:c>
      <x:c r="E107" s="24" t="str">
        <x:v>MP 2</x:v>
      </x:c>
      <x:c r="F107" s="24" t="str">
        <x:v>Perempuan</x:v>
      </x:c>
      <x:c r="G107" s="24" t="str">
        <x:v>Minat</x:v>
      </x:c>
      <x:c r="H107" s="26" t="n">
        <x:f>Probabilitas!$C$4*INDEX(Probabilitas!$C$10:$C$11,MATCH(D107,Probabilitas!$A$10:$A$11,0))*INDEX(Probabilitas!$C$16:$C$22,MATCH(E107,Probabilitas!$A$16:$A$22,0))*INDEX(Probabilitas!$C$27:$C$28,MATCH(F107,Probabilitas!$A$27:$A$28,0))</x:f>
        <x:v>0.051996678920991704</x:v>
      </x:c>
      <x:c r="I107" s="26" t="n">
        <x:f>Probabilitas!$C$5*INDEX(Probabilitas!$E$10:$E$11,MATCH(D107,Probabilitas!$A$10:$A$11,0))*INDEX(Probabilitas!$E$16:$E$22,MATCH(E107,Probabilitas!$A$16:$A$22,0))*INDEX(Probabilitas!$E$27:$E$28,MATCH(F107,Probabilitas!$A$27:$A$28,0))</x:f>
        <x:v>4.198188761032436e-7</x:v>
      </x:c>
      <x:c r="J107" s="26" t="n">
        <x:f>IFERROR(H107/(H107+I107),0)</x:f>
        <x:v>0.9999919261096046</x:v>
      </x:c>
      <x:c r="K107" s="26" t="n">
        <x:f>IFERROR(I107/(H107+I107),0)</x:f>
        <x:v>0.000008073890395376142</x:v>
      </x:c>
      <x:c r="L107" s="24" t="str">
        <x:f>IF(J107&gt;=K107,"Minat","Tidak minat")</x:f>
        <x:v>Minat</x:v>
      </x:c>
      <x:c r="M107" s="24" t="str">
        <x:f>IF(L107=G107,"Sesuai label latih","Berbeda dari label latih")</x:f>
        <x:v>Sesuai label latih</x:v>
      </x:c>
    </x:row>
    <x:row r="108">
      <x:c r="A108" s="24" t="n">
        <x:v>107</x:v>
      </x:c>
      <x:c r="B108" s="24" t="str">
        <x:v>MP2-P-010</x:v>
      </x:c>
      <x:c r="C108" s="24" t="str">
        <x:v>Siswa MP2 P-010</x:v>
      </x:c>
      <x:c r="D108" s="24" t="str">
        <x:v>MP / Manajemen Perkantoran</x:v>
      </x:c>
      <x:c r="E108" s="24" t="str">
        <x:v>MP 2</x:v>
      </x:c>
      <x:c r="F108" s="24" t="str">
        <x:v>Perempuan</x:v>
      </x:c>
      <x:c r="G108" s="24" t="str">
        <x:v>Minat</x:v>
      </x:c>
      <x:c r="H108" s="26" t="n">
        <x:f>Probabilitas!$C$4*INDEX(Probabilitas!$C$10:$C$11,MATCH(D108,Probabilitas!$A$10:$A$11,0))*INDEX(Probabilitas!$C$16:$C$22,MATCH(E108,Probabilitas!$A$16:$A$22,0))*INDEX(Probabilitas!$C$27:$C$28,MATCH(F108,Probabilitas!$A$27:$A$28,0))</x:f>
        <x:v>0.051996678920991704</x:v>
      </x:c>
      <x:c r="I108" s="26" t="n">
        <x:f>Probabilitas!$C$5*INDEX(Probabilitas!$E$10:$E$11,MATCH(D108,Probabilitas!$A$10:$A$11,0))*INDEX(Probabilitas!$E$16:$E$22,MATCH(E108,Probabilitas!$A$16:$A$22,0))*INDEX(Probabilitas!$E$27:$E$28,MATCH(F108,Probabilitas!$A$27:$A$28,0))</x:f>
        <x:v>4.198188761032436e-7</x:v>
      </x:c>
      <x:c r="J108" s="26" t="n">
        <x:f>IFERROR(H108/(H108+I108),0)</x:f>
        <x:v>0.9999919261096046</x:v>
      </x:c>
      <x:c r="K108" s="26" t="n">
        <x:f>IFERROR(I108/(H108+I108),0)</x:f>
        <x:v>0.000008073890395376142</x:v>
      </x:c>
      <x:c r="L108" s="24" t="str">
        <x:f>IF(J108&gt;=K108,"Minat","Tidak minat")</x:f>
        <x:v>Minat</x:v>
      </x:c>
      <x:c r="M108" s="24" t="str">
        <x:f>IF(L108=G108,"Sesuai label latih","Berbeda dari label latih")</x:f>
        <x:v>Sesuai label latih</x:v>
      </x:c>
    </x:row>
    <x:row r="109">
      <x:c r="A109" s="24" t="n">
        <x:v>108</x:v>
      </x:c>
      <x:c r="B109" s="24" t="str">
        <x:v>MP2-P-011</x:v>
      </x:c>
      <x:c r="C109" s="24" t="str">
        <x:v>Siswa MP2 P-011</x:v>
      </x:c>
      <x:c r="D109" s="24" t="str">
        <x:v>MP / Manajemen Perkantoran</x:v>
      </x:c>
      <x:c r="E109" s="24" t="str">
        <x:v>MP 2</x:v>
      </x:c>
      <x:c r="F109" s="24" t="str">
        <x:v>Perempuan</x:v>
      </x:c>
      <x:c r="G109" s="24" t="str">
        <x:v>Minat</x:v>
      </x:c>
      <x:c r="H109" s="26" t="n">
        <x:f>Probabilitas!$C$4*INDEX(Probabilitas!$C$10:$C$11,MATCH(D109,Probabilitas!$A$10:$A$11,0))*INDEX(Probabilitas!$C$16:$C$22,MATCH(E109,Probabilitas!$A$16:$A$22,0))*INDEX(Probabilitas!$C$27:$C$28,MATCH(F109,Probabilitas!$A$27:$A$28,0))</x:f>
        <x:v>0.051996678920991704</x:v>
      </x:c>
      <x:c r="I109" s="26" t="n">
        <x:f>Probabilitas!$C$5*INDEX(Probabilitas!$E$10:$E$11,MATCH(D109,Probabilitas!$A$10:$A$11,0))*INDEX(Probabilitas!$E$16:$E$22,MATCH(E109,Probabilitas!$A$16:$A$22,0))*INDEX(Probabilitas!$E$27:$E$28,MATCH(F109,Probabilitas!$A$27:$A$28,0))</x:f>
        <x:v>4.198188761032436e-7</x:v>
      </x:c>
      <x:c r="J109" s="26" t="n">
        <x:f>IFERROR(H109/(H109+I109),0)</x:f>
        <x:v>0.9999919261096046</x:v>
      </x:c>
      <x:c r="K109" s="26" t="n">
        <x:f>IFERROR(I109/(H109+I109),0)</x:f>
        <x:v>0.000008073890395376142</x:v>
      </x:c>
      <x:c r="L109" s="24" t="str">
        <x:f>IF(J109&gt;=K109,"Minat","Tidak minat")</x:f>
        <x:v>Minat</x:v>
      </x:c>
      <x:c r="M109" s="24" t="str">
        <x:f>IF(L109=G109,"Sesuai label latih","Berbeda dari label latih")</x:f>
        <x:v>Sesuai label latih</x:v>
      </x:c>
    </x:row>
    <x:row r="110">
      <x:c r="A110" s="24" t="n">
        <x:v>109</x:v>
      </x:c>
      <x:c r="B110" s="24" t="str">
        <x:v>MP2-P-012</x:v>
      </x:c>
      <x:c r="C110" s="24" t="str">
        <x:v>Siswa MP2 P-012</x:v>
      </x:c>
      <x:c r="D110" s="24" t="str">
        <x:v>MP / Manajemen Perkantoran</x:v>
      </x:c>
      <x:c r="E110" s="24" t="str">
        <x:v>MP 2</x:v>
      </x:c>
      <x:c r="F110" s="24" t="str">
        <x:v>Perempuan</x:v>
      </x:c>
      <x:c r="G110" s="24" t="str">
        <x:v>Minat</x:v>
      </x:c>
      <x:c r="H110" s="26" t="n">
        <x:f>Probabilitas!$C$4*INDEX(Probabilitas!$C$10:$C$11,MATCH(D110,Probabilitas!$A$10:$A$11,0))*INDEX(Probabilitas!$C$16:$C$22,MATCH(E110,Probabilitas!$A$16:$A$22,0))*INDEX(Probabilitas!$C$27:$C$28,MATCH(F110,Probabilitas!$A$27:$A$28,0))</x:f>
        <x:v>0.051996678920991704</x:v>
      </x:c>
      <x:c r="I110" s="26" t="n">
        <x:f>Probabilitas!$C$5*INDEX(Probabilitas!$E$10:$E$11,MATCH(D110,Probabilitas!$A$10:$A$11,0))*INDEX(Probabilitas!$E$16:$E$22,MATCH(E110,Probabilitas!$A$16:$A$22,0))*INDEX(Probabilitas!$E$27:$E$28,MATCH(F110,Probabilitas!$A$27:$A$28,0))</x:f>
        <x:v>4.198188761032436e-7</x:v>
      </x:c>
      <x:c r="J110" s="26" t="n">
        <x:f>IFERROR(H110/(H110+I110),0)</x:f>
        <x:v>0.9999919261096046</x:v>
      </x:c>
      <x:c r="K110" s="26" t="n">
        <x:f>IFERROR(I110/(H110+I110),0)</x:f>
        <x:v>0.000008073890395376142</x:v>
      </x:c>
      <x:c r="L110" s="24" t="str">
        <x:f>IF(J110&gt;=K110,"Minat","Tidak minat")</x:f>
        <x:v>Minat</x:v>
      </x:c>
      <x:c r="M110" s="24" t="str">
        <x:f>IF(L110=G110,"Sesuai label latih","Berbeda dari label latih")</x:f>
        <x:v>Sesuai label latih</x:v>
      </x:c>
    </x:row>
    <x:row r="111">
      <x:c r="A111" s="24" t="n">
        <x:v>110</x:v>
      </x:c>
      <x:c r="B111" s="24" t="str">
        <x:v>MP2-P-013</x:v>
      </x:c>
      <x:c r="C111" s="24" t="str">
        <x:v>Siswa MP2 P-013</x:v>
      </x:c>
      <x:c r="D111" s="24" t="str">
        <x:v>MP / Manajemen Perkantoran</x:v>
      </x:c>
      <x:c r="E111" s="24" t="str">
        <x:v>MP 2</x:v>
      </x:c>
      <x:c r="F111" s="24" t="str">
        <x:v>Perempuan</x:v>
      </x:c>
      <x:c r="G111" s="24" t="str">
        <x:v>Minat</x:v>
      </x:c>
      <x:c r="H111" s="26" t="n">
        <x:f>Probabilitas!$C$4*INDEX(Probabilitas!$C$10:$C$11,MATCH(D111,Probabilitas!$A$10:$A$11,0))*INDEX(Probabilitas!$C$16:$C$22,MATCH(E111,Probabilitas!$A$16:$A$22,0))*INDEX(Probabilitas!$C$27:$C$28,MATCH(F111,Probabilitas!$A$27:$A$28,0))</x:f>
        <x:v>0.051996678920991704</x:v>
      </x:c>
      <x:c r="I111" s="26" t="n">
        <x:f>Probabilitas!$C$5*INDEX(Probabilitas!$E$10:$E$11,MATCH(D111,Probabilitas!$A$10:$A$11,0))*INDEX(Probabilitas!$E$16:$E$22,MATCH(E111,Probabilitas!$A$16:$A$22,0))*INDEX(Probabilitas!$E$27:$E$28,MATCH(F111,Probabilitas!$A$27:$A$28,0))</x:f>
        <x:v>4.198188761032436e-7</x:v>
      </x:c>
      <x:c r="J111" s="26" t="n">
        <x:f>IFERROR(H111/(H111+I111),0)</x:f>
        <x:v>0.9999919261096046</x:v>
      </x:c>
      <x:c r="K111" s="26" t="n">
        <x:f>IFERROR(I111/(H111+I111),0)</x:f>
        <x:v>0.000008073890395376142</x:v>
      </x:c>
      <x:c r="L111" s="24" t="str">
        <x:f>IF(J111&gt;=K111,"Minat","Tidak minat")</x:f>
        <x:v>Minat</x:v>
      </x:c>
      <x:c r="M111" s="24" t="str">
        <x:f>IF(L111=G111,"Sesuai label latih","Berbeda dari label latih")</x:f>
        <x:v>Sesuai label latih</x:v>
      </x:c>
    </x:row>
    <x:row r="112">
      <x:c r="A112" s="24" t="n">
        <x:v>111</x:v>
      </x:c>
      <x:c r="B112" s="24" t="str">
        <x:v>MP2-P-014</x:v>
      </x:c>
      <x:c r="C112" s="24" t="str">
        <x:v>Siswa MP2 P-014</x:v>
      </x:c>
      <x:c r="D112" s="24" t="str">
        <x:v>MP / Manajemen Perkantoran</x:v>
      </x:c>
      <x:c r="E112" s="24" t="str">
        <x:v>MP 2</x:v>
      </x:c>
      <x:c r="F112" s="24" t="str">
        <x:v>Perempuan</x:v>
      </x:c>
      <x:c r="G112" s="24" t="str">
        <x:v>Minat</x:v>
      </x:c>
      <x:c r="H112" s="26" t="n">
        <x:f>Probabilitas!$C$4*INDEX(Probabilitas!$C$10:$C$11,MATCH(D112,Probabilitas!$A$10:$A$11,0))*INDEX(Probabilitas!$C$16:$C$22,MATCH(E112,Probabilitas!$A$16:$A$22,0))*INDEX(Probabilitas!$C$27:$C$28,MATCH(F112,Probabilitas!$A$27:$A$28,0))</x:f>
        <x:v>0.051996678920991704</x:v>
      </x:c>
      <x:c r="I112" s="26" t="n">
        <x:f>Probabilitas!$C$5*INDEX(Probabilitas!$E$10:$E$11,MATCH(D112,Probabilitas!$A$10:$A$11,0))*INDEX(Probabilitas!$E$16:$E$22,MATCH(E112,Probabilitas!$A$16:$A$22,0))*INDEX(Probabilitas!$E$27:$E$28,MATCH(F112,Probabilitas!$A$27:$A$28,0))</x:f>
        <x:v>4.198188761032436e-7</x:v>
      </x:c>
      <x:c r="J112" s="26" t="n">
        <x:f>IFERROR(H112/(H112+I112),0)</x:f>
        <x:v>0.9999919261096046</x:v>
      </x:c>
      <x:c r="K112" s="26" t="n">
        <x:f>IFERROR(I112/(H112+I112),0)</x:f>
        <x:v>0.000008073890395376142</x:v>
      </x:c>
      <x:c r="L112" s="24" t="str">
        <x:f>IF(J112&gt;=K112,"Minat","Tidak minat")</x:f>
        <x:v>Minat</x:v>
      </x:c>
      <x:c r="M112" s="24" t="str">
        <x:f>IF(L112=G112,"Sesuai label latih","Berbeda dari label latih")</x:f>
        <x:v>Sesuai label latih</x:v>
      </x:c>
    </x:row>
    <x:row r="113">
      <x:c r="A113" s="24" t="n">
        <x:v>112</x:v>
      </x:c>
      <x:c r="B113" s="24" t="str">
        <x:v>MP2-P-015</x:v>
      </x:c>
      <x:c r="C113" s="24" t="str">
        <x:v>Siswa MP2 P-015</x:v>
      </x:c>
      <x:c r="D113" s="24" t="str">
        <x:v>MP / Manajemen Perkantoran</x:v>
      </x:c>
      <x:c r="E113" s="24" t="str">
        <x:v>MP 2</x:v>
      </x:c>
      <x:c r="F113" s="24" t="str">
        <x:v>Perempuan</x:v>
      </x:c>
      <x:c r="G113" s="24" t="str">
        <x:v>Minat</x:v>
      </x:c>
      <x:c r="H113" s="26" t="n">
        <x:f>Probabilitas!$C$4*INDEX(Probabilitas!$C$10:$C$11,MATCH(D113,Probabilitas!$A$10:$A$11,0))*INDEX(Probabilitas!$C$16:$C$22,MATCH(E113,Probabilitas!$A$16:$A$22,0))*INDEX(Probabilitas!$C$27:$C$28,MATCH(F113,Probabilitas!$A$27:$A$28,0))</x:f>
        <x:v>0.051996678920991704</x:v>
      </x:c>
      <x:c r="I113" s="26" t="n">
        <x:f>Probabilitas!$C$5*INDEX(Probabilitas!$E$10:$E$11,MATCH(D113,Probabilitas!$A$10:$A$11,0))*INDEX(Probabilitas!$E$16:$E$22,MATCH(E113,Probabilitas!$A$16:$A$22,0))*INDEX(Probabilitas!$E$27:$E$28,MATCH(F113,Probabilitas!$A$27:$A$28,0))</x:f>
        <x:v>4.198188761032436e-7</x:v>
      </x:c>
      <x:c r="J113" s="26" t="n">
        <x:f>IFERROR(H113/(H113+I113),0)</x:f>
        <x:v>0.9999919261096046</x:v>
      </x:c>
      <x:c r="K113" s="26" t="n">
        <x:f>IFERROR(I113/(H113+I113),0)</x:f>
        <x:v>0.000008073890395376142</x:v>
      </x:c>
      <x:c r="L113" s="24" t="str">
        <x:f>IF(J113&gt;=K113,"Minat","Tidak minat")</x:f>
        <x:v>Minat</x:v>
      </x:c>
      <x:c r="M113" s="24" t="str">
        <x:f>IF(L113=G113,"Sesuai label latih","Berbeda dari label latih")</x:f>
        <x:v>Sesuai label latih</x:v>
      </x:c>
    </x:row>
    <x:row r="114">
      <x:c r="A114" s="24" t="n">
        <x:v>113</x:v>
      </x:c>
      <x:c r="B114" s="24" t="str">
        <x:v>MP2-P-016</x:v>
      </x:c>
      <x:c r="C114" s="24" t="str">
        <x:v>Siswa MP2 P-016</x:v>
      </x:c>
      <x:c r="D114" s="24" t="str">
        <x:v>MP / Manajemen Perkantoran</x:v>
      </x:c>
      <x:c r="E114" s="24" t="str">
        <x:v>MP 2</x:v>
      </x:c>
      <x:c r="F114" s="24" t="str">
        <x:v>Perempuan</x:v>
      </x:c>
      <x:c r="G114" s="24" t="str">
        <x:v>Minat</x:v>
      </x:c>
      <x:c r="H114" s="26" t="n">
        <x:f>Probabilitas!$C$4*INDEX(Probabilitas!$C$10:$C$11,MATCH(D114,Probabilitas!$A$10:$A$11,0))*INDEX(Probabilitas!$C$16:$C$22,MATCH(E114,Probabilitas!$A$16:$A$22,0))*INDEX(Probabilitas!$C$27:$C$28,MATCH(F114,Probabilitas!$A$27:$A$28,0))</x:f>
        <x:v>0.051996678920991704</x:v>
      </x:c>
      <x:c r="I114" s="26" t="n">
        <x:f>Probabilitas!$C$5*INDEX(Probabilitas!$E$10:$E$11,MATCH(D114,Probabilitas!$A$10:$A$11,0))*INDEX(Probabilitas!$E$16:$E$22,MATCH(E114,Probabilitas!$A$16:$A$22,0))*INDEX(Probabilitas!$E$27:$E$28,MATCH(F114,Probabilitas!$A$27:$A$28,0))</x:f>
        <x:v>4.198188761032436e-7</x:v>
      </x:c>
      <x:c r="J114" s="26" t="n">
        <x:f>IFERROR(H114/(H114+I114),0)</x:f>
        <x:v>0.9999919261096046</x:v>
      </x:c>
      <x:c r="K114" s="26" t="n">
        <x:f>IFERROR(I114/(H114+I114),0)</x:f>
        <x:v>0.000008073890395376142</x:v>
      </x:c>
      <x:c r="L114" s="24" t="str">
        <x:f>IF(J114&gt;=K114,"Minat","Tidak minat")</x:f>
        <x:v>Minat</x:v>
      </x:c>
      <x:c r="M114" s="24" t="str">
        <x:f>IF(L114=G114,"Sesuai label latih","Berbeda dari label latih")</x:f>
        <x:v>Sesuai label latih</x:v>
      </x:c>
    </x:row>
    <x:row r="115">
      <x:c r="A115" s="24" t="n">
        <x:v>114</x:v>
      </x:c>
      <x:c r="B115" s="24" t="str">
        <x:v>MP2-P-017</x:v>
      </x:c>
      <x:c r="C115" s="24" t="str">
        <x:v>Siswa MP2 P-017</x:v>
      </x:c>
      <x:c r="D115" s="24" t="str">
        <x:v>MP / Manajemen Perkantoran</x:v>
      </x:c>
      <x:c r="E115" s="24" t="str">
        <x:v>MP 2</x:v>
      </x:c>
      <x:c r="F115" s="24" t="str">
        <x:v>Perempuan</x:v>
      </x:c>
      <x:c r="G115" s="24" t="str">
        <x:v>Minat</x:v>
      </x:c>
      <x:c r="H115" s="26" t="n">
        <x:f>Probabilitas!$C$4*INDEX(Probabilitas!$C$10:$C$11,MATCH(D115,Probabilitas!$A$10:$A$11,0))*INDEX(Probabilitas!$C$16:$C$22,MATCH(E115,Probabilitas!$A$16:$A$22,0))*INDEX(Probabilitas!$C$27:$C$28,MATCH(F115,Probabilitas!$A$27:$A$28,0))</x:f>
        <x:v>0.051996678920991704</x:v>
      </x:c>
      <x:c r="I115" s="26" t="n">
        <x:f>Probabilitas!$C$5*INDEX(Probabilitas!$E$10:$E$11,MATCH(D115,Probabilitas!$A$10:$A$11,0))*INDEX(Probabilitas!$E$16:$E$22,MATCH(E115,Probabilitas!$A$16:$A$22,0))*INDEX(Probabilitas!$E$27:$E$28,MATCH(F115,Probabilitas!$A$27:$A$28,0))</x:f>
        <x:v>4.198188761032436e-7</x:v>
      </x:c>
      <x:c r="J115" s="26" t="n">
        <x:f>IFERROR(H115/(H115+I115),0)</x:f>
        <x:v>0.9999919261096046</x:v>
      </x:c>
      <x:c r="K115" s="26" t="n">
        <x:f>IFERROR(I115/(H115+I115),0)</x:f>
        <x:v>0.000008073890395376142</x:v>
      </x:c>
      <x:c r="L115" s="24" t="str">
        <x:f>IF(J115&gt;=K115,"Minat","Tidak minat")</x:f>
        <x:v>Minat</x:v>
      </x:c>
      <x:c r="M115" s="24" t="str">
        <x:f>IF(L115=G115,"Sesuai label latih","Berbeda dari label latih")</x:f>
        <x:v>Sesuai label latih</x:v>
      </x:c>
    </x:row>
    <x:row r="116">
      <x:c r="A116" s="24" t="n">
        <x:v>115</x:v>
      </x:c>
      <x:c r="B116" s="24" t="str">
        <x:v>MP2-P-018</x:v>
      </x:c>
      <x:c r="C116" s="24" t="str">
        <x:v>Siswa MP2 P-018</x:v>
      </x:c>
      <x:c r="D116" s="24" t="str">
        <x:v>MP / Manajemen Perkantoran</x:v>
      </x:c>
      <x:c r="E116" s="24" t="str">
        <x:v>MP 2</x:v>
      </x:c>
      <x:c r="F116" s="24" t="str">
        <x:v>Perempuan</x:v>
      </x:c>
      <x:c r="G116" s="24" t="str">
        <x:v>Minat</x:v>
      </x:c>
      <x:c r="H116" s="26" t="n">
        <x:f>Probabilitas!$C$4*INDEX(Probabilitas!$C$10:$C$11,MATCH(D116,Probabilitas!$A$10:$A$11,0))*INDEX(Probabilitas!$C$16:$C$22,MATCH(E116,Probabilitas!$A$16:$A$22,0))*INDEX(Probabilitas!$C$27:$C$28,MATCH(F116,Probabilitas!$A$27:$A$28,0))</x:f>
        <x:v>0.051996678920991704</x:v>
      </x:c>
      <x:c r="I116" s="26" t="n">
        <x:f>Probabilitas!$C$5*INDEX(Probabilitas!$E$10:$E$11,MATCH(D116,Probabilitas!$A$10:$A$11,0))*INDEX(Probabilitas!$E$16:$E$22,MATCH(E116,Probabilitas!$A$16:$A$22,0))*INDEX(Probabilitas!$E$27:$E$28,MATCH(F116,Probabilitas!$A$27:$A$28,0))</x:f>
        <x:v>4.198188761032436e-7</x:v>
      </x:c>
      <x:c r="J116" s="26" t="n">
        <x:f>IFERROR(H116/(H116+I116),0)</x:f>
        <x:v>0.9999919261096046</x:v>
      </x:c>
      <x:c r="K116" s="26" t="n">
        <x:f>IFERROR(I116/(H116+I116),0)</x:f>
        <x:v>0.000008073890395376142</x:v>
      </x:c>
      <x:c r="L116" s="24" t="str">
        <x:f>IF(J116&gt;=K116,"Minat","Tidak minat")</x:f>
        <x:v>Minat</x:v>
      </x:c>
      <x:c r="M116" s="24" t="str">
        <x:f>IF(L116=G116,"Sesuai label latih","Berbeda dari label latih")</x:f>
        <x:v>Sesuai label latih</x:v>
      </x:c>
    </x:row>
    <x:row r="117">
      <x:c r="A117" s="24" t="n">
        <x:v>116</x:v>
      </x:c>
      <x:c r="B117" s="24" t="str">
        <x:v>MP2-P-019</x:v>
      </x:c>
      <x:c r="C117" s="24" t="str">
        <x:v>Siswa MP2 P-019</x:v>
      </x:c>
      <x:c r="D117" s="24" t="str">
        <x:v>MP / Manajemen Perkantoran</x:v>
      </x:c>
      <x:c r="E117" s="24" t="str">
        <x:v>MP 2</x:v>
      </x:c>
      <x:c r="F117" s="24" t="str">
        <x:v>Perempuan</x:v>
      </x:c>
      <x:c r="G117" s="24" t="str">
        <x:v>Minat</x:v>
      </x:c>
      <x:c r="H117" s="26" t="n">
        <x:f>Probabilitas!$C$4*INDEX(Probabilitas!$C$10:$C$11,MATCH(D117,Probabilitas!$A$10:$A$11,0))*INDEX(Probabilitas!$C$16:$C$22,MATCH(E117,Probabilitas!$A$16:$A$22,0))*INDEX(Probabilitas!$C$27:$C$28,MATCH(F117,Probabilitas!$A$27:$A$28,0))</x:f>
        <x:v>0.051996678920991704</x:v>
      </x:c>
      <x:c r="I117" s="26" t="n">
        <x:f>Probabilitas!$C$5*INDEX(Probabilitas!$E$10:$E$11,MATCH(D117,Probabilitas!$A$10:$A$11,0))*INDEX(Probabilitas!$E$16:$E$22,MATCH(E117,Probabilitas!$A$16:$A$22,0))*INDEX(Probabilitas!$E$27:$E$28,MATCH(F117,Probabilitas!$A$27:$A$28,0))</x:f>
        <x:v>4.198188761032436e-7</x:v>
      </x:c>
      <x:c r="J117" s="26" t="n">
        <x:f>IFERROR(H117/(H117+I117),0)</x:f>
        <x:v>0.9999919261096046</x:v>
      </x:c>
      <x:c r="K117" s="26" t="n">
        <x:f>IFERROR(I117/(H117+I117),0)</x:f>
        <x:v>0.000008073890395376142</x:v>
      </x:c>
      <x:c r="L117" s="24" t="str">
        <x:f>IF(J117&gt;=K117,"Minat","Tidak minat")</x:f>
        <x:v>Minat</x:v>
      </x:c>
      <x:c r="M117" s="24" t="str">
        <x:f>IF(L117=G117,"Sesuai label latih","Berbeda dari label latih")</x:f>
        <x:v>Sesuai label latih</x:v>
      </x:c>
    </x:row>
    <x:row r="118">
      <x:c r="A118" s="24" t="n">
        <x:v>117</x:v>
      </x:c>
      <x:c r="B118" s="24" t="str">
        <x:v>MP2-P-020</x:v>
      </x:c>
      <x:c r="C118" s="24" t="str">
        <x:v>Siswa MP2 P-020</x:v>
      </x:c>
      <x:c r="D118" s="24" t="str">
        <x:v>MP / Manajemen Perkantoran</x:v>
      </x:c>
      <x:c r="E118" s="24" t="str">
        <x:v>MP 2</x:v>
      </x:c>
      <x:c r="F118" s="24" t="str">
        <x:v>Perempuan</x:v>
      </x:c>
      <x:c r="G118" s="24" t="str">
        <x:v>Minat</x:v>
      </x:c>
      <x:c r="H118" s="26" t="n">
        <x:f>Probabilitas!$C$4*INDEX(Probabilitas!$C$10:$C$11,MATCH(D118,Probabilitas!$A$10:$A$11,0))*INDEX(Probabilitas!$C$16:$C$22,MATCH(E118,Probabilitas!$A$16:$A$22,0))*INDEX(Probabilitas!$C$27:$C$28,MATCH(F118,Probabilitas!$A$27:$A$28,0))</x:f>
        <x:v>0.051996678920991704</x:v>
      </x:c>
      <x:c r="I118" s="26" t="n">
        <x:f>Probabilitas!$C$5*INDEX(Probabilitas!$E$10:$E$11,MATCH(D118,Probabilitas!$A$10:$A$11,0))*INDEX(Probabilitas!$E$16:$E$22,MATCH(E118,Probabilitas!$A$16:$A$22,0))*INDEX(Probabilitas!$E$27:$E$28,MATCH(F118,Probabilitas!$A$27:$A$28,0))</x:f>
        <x:v>4.198188761032436e-7</x:v>
      </x:c>
      <x:c r="J118" s="26" t="n">
        <x:f>IFERROR(H118/(H118+I118),0)</x:f>
        <x:v>0.9999919261096046</x:v>
      </x:c>
      <x:c r="K118" s="26" t="n">
        <x:f>IFERROR(I118/(H118+I118),0)</x:f>
        <x:v>0.000008073890395376142</x:v>
      </x:c>
      <x:c r="L118" s="24" t="str">
        <x:f>IF(J118&gt;=K118,"Minat","Tidak minat")</x:f>
        <x:v>Minat</x:v>
      </x:c>
      <x:c r="M118" s="24" t="str">
        <x:f>IF(L118=G118,"Sesuai label latih","Berbeda dari label latih")</x:f>
        <x:v>Sesuai label latih</x:v>
      </x:c>
    </x:row>
    <x:row r="119">
      <x:c r="A119" s="24" t="n">
        <x:v>118</x:v>
      </x:c>
      <x:c r="B119" s="24" t="str">
        <x:v>MP2-P-021</x:v>
      </x:c>
      <x:c r="C119" s="24" t="str">
        <x:v>Siswa MP2 P-021</x:v>
      </x:c>
      <x:c r="D119" s="24" t="str">
        <x:v>MP / Manajemen Perkantoran</x:v>
      </x:c>
      <x:c r="E119" s="24" t="str">
        <x:v>MP 2</x:v>
      </x:c>
      <x:c r="F119" s="24" t="str">
        <x:v>Perempuan</x:v>
      </x:c>
      <x:c r="G119" s="24" t="str">
        <x:v>Minat</x:v>
      </x:c>
      <x:c r="H119" s="26" t="n">
        <x:f>Probabilitas!$C$4*INDEX(Probabilitas!$C$10:$C$11,MATCH(D119,Probabilitas!$A$10:$A$11,0))*INDEX(Probabilitas!$C$16:$C$22,MATCH(E119,Probabilitas!$A$16:$A$22,0))*INDEX(Probabilitas!$C$27:$C$28,MATCH(F119,Probabilitas!$A$27:$A$28,0))</x:f>
        <x:v>0.051996678920991704</x:v>
      </x:c>
      <x:c r="I119" s="26" t="n">
        <x:f>Probabilitas!$C$5*INDEX(Probabilitas!$E$10:$E$11,MATCH(D119,Probabilitas!$A$10:$A$11,0))*INDEX(Probabilitas!$E$16:$E$22,MATCH(E119,Probabilitas!$A$16:$A$22,0))*INDEX(Probabilitas!$E$27:$E$28,MATCH(F119,Probabilitas!$A$27:$A$28,0))</x:f>
        <x:v>4.198188761032436e-7</x:v>
      </x:c>
      <x:c r="J119" s="26" t="n">
        <x:f>IFERROR(H119/(H119+I119),0)</x:f>
        <x:v>0.9999919261096046</x:v>
      </x:c>
      <x:c r="K119" s="26" t="n">
        <x:f>IFERROR(I119/(H119+I119),0)</x:f>
        <x:v>0.000008073890395376142</x:v>
      </x:c>
      <x:c r="L119" s="24" t="str">
        <x:f>IF(J119&gt;=K119,"Minat","Tidak minat")</x:f>
        <x:v>Minat</x:v>
      </x:c>
      <x:c r="M119" s="24" t="str">
        <x:f>IF(L119=G119,"Sesuai label latih","Berbeda dari label latih")</x:f>
        <x:v>Sesuai label latih</x:v>
      </x:c>
    </x:row>
    <x:row r="120">
      <x:c r="A120" s="24" t="n">
        <x:v>119</x:v>
      </x:c>
      <x:c r="B120" s="24" t="str">
        <x:v>MP2-P-022</x:v>
      </x:c>
      <x:c r="C120" s="24" t="str">
        <x:v>Siswa MP2 P-022</x:v>
      </x:c>
      <x:c r="D120" s="24" t="str">
        <x:v>MP / Manajemen Perkantoran</x:v>
      </x:c>
      <x:c r="E120" s="24" t="str">
        <x:v>MP 2</x:v>
      </x:c>
      <x:c r="F120" s="24" t="str">
        <x:v>Perempuan</x:v>
      </x:c>
      <x:c r="G120" s="24" t="str">
        <x:v>Minat</x:v>
      </x:c>
      <x:c r="H120" s="26" t="n">
        <x:f>Probabilitas!$C$4*INDEX(Probabilitas!$C$10:$C$11,MATCH(D120,Probabilitas!$A$10:$A$11,0))*INDEX(Probabilitas!$C$16:$C$22,MATCH(E120,Probabilitas!$A$16:$A$22,0))*INDEX(Probabilitas!$C$27:$C$28,MATCH(F120,Probabilitas!$A$27:$A$28,0))</x:f>
        <x:v>0.051996678920991704</x:v>
      </x:c>
      <x:c r="I120" s="26" t="n">
        <x:f>Probabilitas!$C$5*INDEX(Probabilitas!$E$10:$E$11,MATCH(D120,Probabilitas!$A$10:$A$11,0))*INDEX(Probabilitas!$E$16:$E$22,MATCH(E120,Probabilitas!$A$16:$A$22,0))*INDEX(Probabilitas!$E$27:$E$28,MATCH(F120,Probabilitas!$A$27:$A$28,0))</x:f>
        <x:v>4.198188761032436e-7</x:v>
      </x:c>
      <x:c r="J120" s="26" t="n">
        <x:f>IFERROR(H120/(H120+I120),0)</x:f>
        <x:v>0.9999919261096046</x:v>
      </x:c>
      <x:c r="K120" s="26" t="n">
        <x:f>IFERROR(I120/(H120+I120),0)</x:f>
        <x:v>0.000008073890395376142</x:v>
      </x:c>
      <x:c r="L120" s="24" t="str">
        <x:f>IF(J120&gt;=K120,"Minat","Tidak minat")</x:f>
        <x:v>Minat</x:v>
      </x:c>
      <x:c r="M120" s="24" t="str">
        <x:f>IF(L120=G120,"Sesuai label latih","Berbeda dari label latih")</x:f>
        <x:v>Sesuai label latih</x:v>
      </x:c>
    </x:row>
    <x:row r="121">
      <x:c r="A121" s="24" t="n">
        <x:v>120</x:v>
      </x:c>
      <x:c r="B121" s="24" t="str">
        <x:v>MP2-P-023</x:v>
      </x:c>
      <x:c r="C121" s="24" t="str">
        <x:v>Siswa MP2 P-023</x:v>
      </x:c>
      <x:c r="D121" s="24" t="str">
        <x:v>MP / Manajemen Perkantoran</x:v>
      </x:c>
      <x:c r="E121" s="24" t="str">
        <x:v>MP 2</x:v>
      </x:c>
      <x:c r="F121" s="24" t="str">
        <x:v>Perempuan</x:v>
      </x:c>
      <x:c r="G121" s="24" t="str">
        <x:v>Minat</x:v>
      </x:c>
      <x:c r="H121" s="26" t="n">
        <x:f>Probabilitas!$C$4*INDEX(Probabilitas!$C$10:$C$11,MATCH(D121,Probabilitas!$A$10:$A$11,0))*INDEX(Probabilitas!$C$16:$C$22,MATCH(E121,Probabilitas!$A$16:$A$22,0))*INDEX(Probabilitas!$C$27:$C$28,MATCH(F121,Probabilitas!$A$27:$A$28,0))</x:f>
        <x:v>0.051996678920991704</x:v>
      </x:c>
      <x:c r="I121" s="26" t="n">
        <x:f>Probabilitas!$C$5*INDEX(Probabilitas!$E$10:$E$11,MATCH(D121,Probabilitas!$A$10:$A$11,0))*INDEX(Probabilitas!$E$16:$E$22,MATCH(E121,Probabilitas!$A$16:$A$22,0))*INDEX(Probabilitas!$E$27:$E$28,MATCH(F121,Probabilitas!$A$27:$A$28,0))</x:f>
        <x:v>4.198188761032436e-7</x:v>
      </x:c>
      <x:c r="J121" s="26" t="n">
        <x:f>IFERROR(H121/(H121+I121),0)</x:f>
        <x:v>0.9999919261096046</x:v>
      </x:c>
      <x:c r="K121" s="26" t="n">
        <x:f>IFERROR(I121/(H121+I121),0)</x:f>
        <x:v>0.000008073890395376142</x:v>
      </x:c>
      <x:c r="L121" s="24" t="str">
        <x:f>IF(J121&gt;=K121,"Minat","Tidak minat")</x:f>
        <x:v>Minat</x:v>
      </x:c>
      <x:c r="M121" s="24" t="str">
        <x:f>IF(L121=G121,"Sesuai label latih","Berbeda dari label latih")</x:f>
        <x:v>Sesuai label latih</x:v>
      </x:c>
    </x:row>
    <x:row r="122">
      <x:c r="A122" s="24" t="n">
        <x:v>121</x:v>
      </x:c>
      <x:c r="B122" s="24" t="str">
        <x:v>MP2-P-024</x:v>
      </x:c>
      <x:c r="C122" s="24" t="str">
        <x:v>Siswa MP2 P-024</x:v>
      </x:c>
      <x:c r="D122" s="24" t="str">
        <x:v>MP / Manajemen Perkantoran</x:v>
      </x:c>
      <x:c r="E122" s="24" t="str">
        <x:v>MP 2</x:v>
      </x:c>
      <x:c r="F122" s="24" t="str">
        <x:v>Perempuan</x:v>
      </x:c>
      <x:c r="G122" s="24" t="str">
        <x:v>Minat</x:v>
      </x:c>
      <x:c r="H122" s="26" t="n">
        <x:f>Probabilitas!$C$4*INDEX(Probabilitas!$C$10:$C$11,MATCH(D122,Probabilitas!$A$10:$A$11,0))*INDEX(Probabilitas!$C$16:$C$22,MATCH(E122,Probabilitas!$A$16:$A$22,0))*INDEX(Probabilitas!$C$27:$C$28,MATCH(F122,Probabilitas!$A$27:$A$28,0))</x:f>
        <x:v>0.051996678920991704</x:v>
      </x:c>
      <x:c r="I122" s="26" t="n">
        <x:f>Probabilitas!$C$5*INDEX(Probabilitas!$E$10:$E$11,MATCH(D122,Probabilitas!$A$10:$A$11,0))*INDEX(Probabilitas!$E$16:$E$22,MATCH(E122,Probabilitas!$A$16:$A$22,0))*INDEX(Probabilitas!$E$27:$E$28,MATCH(F122,Probabilitas!$A$27:$A$28,0))</x:f>
        <x:v>4.198188761032436e-7</x:v>
      </x:c>
      <x:c r="J122" s="26" t="n">
        <x:f>IFERROR(H122/(H122+I122),0)</x:f>
        <x:v>0.9999919261096046</x:v>
      </x:c>
      <x:c r="K122" s="26" t="n">
        <x:f>IFERROR(I122/(H122+I122),0)</x:f>
        <x:v>0.000008073890395376142</x:v>
      </x:c>
      <x:c r="L122" s="24" t="str">
        <x:f>IF(J122&gt;=K122,"Minat","Tidak minat")</x:f>
        <x:v>Minat</x:v>
      </x:c>
      <x:c r="M122" s="24" t="str">
        <x:f>IF(L122=G122,"Sesuai label latih","Berbeda dari label latih")</x:f>
        <x:v>Sesuai label latih</x:v>
      </x:c>
    </x:row>
    <x:row r="123">
      <x:c r="A123" s="24" t="n">
        <x:v>122</x:v>
      </x:c>
      <x:c r="B123" s="24" t="str">
        <x:v>MP2-P-025</x:v>
      </x:c>
      <x:c r="C123" s="24" t="str">
        <x:v>Siswa MP2 P-025</x:v>
      </x:c>
      <x:c r="D123" s="24" t="str">
        <x:v>MP / Manajemen Perkantoran</x:v>
      </x:c>
      <x:c r="E123" s="24" t="str">
        <x:v>MP 2</x:v>
      </x:c>
      <x:c r="F123" s="24" t="str">
        <x:v>Perempuan</x:v>
      </x:c>
      <x:c r="G123" s="24" t="str">
        <x:v>Minat</x:v>
      </x:c>
      <x:c r="H123" s="26" t="n">
        <x:f>Probabilitas!$C$4*INDEX(Probabilitas!$C$10:$C$11,MATCH(D123,Probabilitas!$A$10:$A$11,0))*INDEX(Probabilitas!$C$16:$C$22,MATCH(E123,Probabilitas!$A$16:$A$22,0))*INDEX(Probabilitas!$C$27:$C$28,MATCH(F123,Probabilitas!$A$27:$A$28,0))</x:f>
        <x:v>0.051996678920991704</x:v>
      </x:c>
      <x:c r="I123" s="26" t="n">
        <x:f>Probabilitas!$C$5*INDEX(Probabilitas!$E$10:$E$11,MATCH(D123,Probabilitas!$A$10:$A$11,0))*INDEX(Probabilitas!$E$16:$E$22,MATCH(E123,Probabilitas!$A$16:$A$22,0))*INDEX(Probabilitas!$E$27:$E$28,MATCH(F123,Probabilitas!$A$27:$A$28,0))</x:f>
        <x:v>4.198188761032436e-7</x:v>
      </x:c>
      <x:c r="J123" s="26" t="n">
        <x:f>IFERROR(H123/(H123+I123),0)</x:f>
        <x:v>0.9999919261096046</x:v>
      </x:c>
      <x:c r="K123" s="26" t="n">
        <x:f>IFERROR(I123/(H123+I123),0)</x:f>
        <x:v>0.000008073890395376142</x:v>
      </x:c>
      <x:c r="L123" s="24" t="str">
        <x:f>IF(J123&gt;=K123,"Minat","Tidak minat")</x:f>
        <x:v>Minat</x:v>
      </x:c>
      <x:c r="M123" s="24" t="str">
        <x:f>IF(L123=G123,"Sesuai label latih","Berbeda dari label latih")</x:f>
        <x:v>Sesuai label latih</x:v>
      </x:c>
    </x:row>
    <x:row r="124">
      <x:c r="A124" s="24" t="n">
        <x:v>123</x:v>
      </x:c>
      <x:c r="B124" s="24" t="str">
        <x:v>MP2-P-026</x:v>
      </x:c>
      <x:c r="C124" s="24" t="str">
        <x:v>Siswa MP2 P-026</x:v>
      </x:c>
      <x:c r="D124" s="24" t="str">
        <x:v>MP / Manajemen Perkantoran</x:v>
      </x:c>
      <x:c r="E124" s="24" t="str">
        <x:v>MP 2</x:v>
      </x:c>
      <x:c r="F124" s="24" t="str">
        <x:v>Perempuan</x:v>
      </x:c>
      <x:c r="G124" s="24" t="str">
        <x:v>Minat</x:v>
      </x:c>
      <x:c r="H124" s="26" t="n">
        <x:f>Probabilitas!$C$4*INDEX(Probabilitas!$C$10:$C$11,MATCH(D124,Probabilitas!$A$10:$A$11,0))*INDEX(Probabilitas!$C$16:$C$22,MATCH(E124,Probabilitas!$A$16:$A$22,0))*INDEX(Probabilitas!$C$27:$C$28,MATCH(F124,Probabilitas!$A$27:$A$28,0))</x:f>
        <x:v>0.051996678920991704</x:v>
      </x:c>
      <x:c r="I124" s="26" t="n">
        <x:f>Probabilitas!$C$5*INDEX(Probabilitas!$E$10:$E$11,MATCH(D124,Probabilitas!$A$10:$A$11,0))*INDEX(Probabilitas!$E$16:$E$22,MATCH(E124,Probabilitas!$A$16:$A$22,0))*INDEX(Probabilitas!$E$27:$E$28,MATCH(F124,Probabilitas!$A$27:$A$28,0))</x:f>
        <x:v>4.198188761032436e-7</x:v>
      </x:c>
      <x:c r="J124" s="26" t="n">
        <x:f>IFERROR(H124/(H124+I124),0)</x:f>
        <x:v>0.9999919261096046</x:v>
      </x:c>
      <x:c r="K124" s="26" t="n">
        <x:f>IFERROR(I124/(H124+I124),0)</x:f>
        <x:v>0.000008073890395376142</x:v>
      </x:c>
      <x:c r="L124" s="24" t="str">
        <x:f>IF(J124&gt;=K124,"Minat","Tidak minat")</x:f>
        <x:v>Minat</x:v>
      </x:c>
      <x:c r="M124" s="24" t="str">
        <x:f>IF(L124=G124,"Sesuai label latih","Berbeda dari label latih")</x:f>
        <x:v>Sesuai label latih</x:v>
      </x:c>
    </x:row>
    <x:row r="125">
      <x:c r="A125" s="24" t="n">
        <x:v>124</x:v>
      </x:c>
      <x:c r="B125" s="24" t="str">
        <x:v>MP2-P-027</x:v>
      </x:c>
      <x:c r="C125" s="24" t="str">
        <x:v>Siswa MP2 P-027</x:v>
      </x:c>
      <x:c r="D125" s="24" t="str">
        <x:v>MP / Manajemen Perkantoran</x:v>
      </x:c>
      <x:c r="E125" s="24" t="str">
        <x:v>MP 2</x:v>
      </x:c>
      <x:c r="F125" s="24" t="str">
        <x:v>Perempuan</x:v>
      </x:c>
      <x:c r="G125" s="24" t="str">
        <x:v>Minat</x:v>
      </x:c>
      <x:c r="H125" s="26" t="n">
        <x:f>Probabilitas!$C$4*INDEX(Probabilitas!$C$10:$C$11,MATCH(D125,Probabilitas!$A$10:$A$11,0))*INDEX(Probabilitas!$C$16:$C$22,MATCH(E125,Probabilitas!$A$16:$A$22,0))*INDEX(Probabilitas!$C$27:$C$28,MATCH(F125,Probabilitas!$A$27:$A$28,0))</x:f>
        <x:v>0.051996678920991704</x:v>
      </x:c>
      <x:c r="I125" s="26" t="n">
        <x:f>Probabilitas!$C$5*INDEX(Probabilitas!$E$10:$E$11,MATCH(D125,Probabilitas!$A$10:$A$11,0))*INDEX(Probabilitas!$E$16:$E$22,MATCH(E125,Probabilitas!$A$16:$A$22,0))*INDEX(Probabilitas!$E$27:$E$28,MATCH(F125,Probabilitas!$A$27:$A$28,0))</x:f>
        <x:v>4.198188761032436e-7</x:v>
      </x:c>
      <x:c r="J125" s="26" t="n">
        <x:f>IFERROR(H125/(H125+I125),0)</x:f>
        <x:v>0.9999919261096046</x:v>
      </x:c>
      <x:c r="K125" s="26" t="n">
        <x:f>IFERROR(I125/(H125+I125),0)</x:f>
        <x:v>0.000008073890395376142</x:v>
      </x:c>
      <x:c r="L125" s="24" t="str">
        <x:f>IF(J125&gt;=K125,"Minat","Tidak minat")</x:f>
        <x:v>Minat</x:v>
      </x:c>
      <x:c r="M125" s="24" t="str">
        <x:f>IF(L125=G125,"Sesuai label latih","Berbeda dari label latih")</x:f>
        <x:v>Sesuai label latih</x:v>
      </x:c>
    </x:row>
    <x:row r="126">
      <x:c r="A126" s="24" t="n">
        <x:v>125</x:v>
      </x:c>
      <x:c r="B126" s="24" t="str">
        <x:v>MP2-P-028</x:v>
      </x:c>
      <x:c r="C126" s="24" t="str">
        <x:v>Siswa MP2 P-028</x:v>
      </x:c>
      <x:c r="D126" s="24" t="str">
        <x:v>MP / Manajemen Perkantoran</x:v>
      </x:c>
      <x:c r="E126" s="24" t="str">
        <x:v>MP 2</x:v>
      </x:c>
      <x:c r="F126" s="24" t="str">
        <x:v>Perempuan</x:v>
      </x:c>
      <x:c r="G126" s="24" t="str">
        <x:v>Minat</x:v>
      </x:c>
      <x:c r="H126" s="26" t="n">
        <x:f>Probabilitas!$C$4*INDEX(Probabilitas!$C$10:$C$11,MATCH(D126,Probabilitas!$A$10:$A$11,0))*INDEX(Probabilitas!$C$16:$C$22,MATCH(E126,Probabilitas!$A$16:$A$22,0))*INDEX(Probabilitas!$C$27:$C$28,MATCH(F126,Probabilitas!$A$27:$A$28,0))</x:f>
        <x:v>0.051996678920991704</x:v>
      </x:c>
      <x:c r="I126" s="26" t="n">
        <x:f>Probabilitas!$C$5*INDEX(Probabilitas!$E$10:$E$11,MATCH(D126,Probabilitas!$A$10:$A$11,0))*INDEX(Probabilitas!$E$16:$E$22,MATCH(E126,Probabilitas!$A$16:$A$22,0))*INDEX(Probabilitas!$E$27:$E$28,MATCH(F126,Probabilitas!$A$27:$A$28,0))</x:f>
        <x:v>4.198188761032436e-7</x:v>
      </x:c>
      <x:c r="J126" s="26" t="n">
        <x:f>IFERROR(H126/(H126+I126),0)</x:f>
        <x:v>0.9999919261096046</x:v>
      </x:c>
      <x:c r="K126" s="26" t="n">
        <x:f>IFERROR(I126/(H126+I126),0)</x:f>
        <x:v>0.000008073890395376142</x:v>
      </x:c>
      <x:c r="L126" s="24" t="str">
        <x:f>IF(J126&gt;=K126,"Minat","Tidak minat")</x:f>
        <x:v>Minat</x:v>
      </x:c>
      <x:c r="M126" s="24" t="str">
        <x:f>IF(L126=G126,"Sesuai label latih","Berbeda dari label latih")</x:f>
        <x:v>Sesuai label latih</x:v>
      </x:c>
    </x:row>
    <x:row r="127">
      <x:c r="A127" s="24" t="n">
        <x:v>126</x:v>
      </x:c>
      <x:c r="B127" s="24" t="str">
        <x:v>MP2-P-029</x:v>
      </x:c>
      <x:c r="C127" s="24" t="str">
        <x:v>Siswa MP2 P-029</x:v>
      </x:c>
      <x:c r="D127" s="24" t="str">
        <x:v>MP / Manajemen Perkantoran</x:v>
      </x:c>
      <x:c r="E127" s="24" t="str">
        <x:v>MP 2</x:v>
      </x:c>
      <x:c r="F127" s="24" t="str">
        <x:v>Perempuan</x:v>
      </x:c>
      <x:c r="G127" s="24" t="str">
        <x:v>Minat</x:v>
      </x:c>
      <x:c r="H127" s="26" t="n">
        <x:f>Probabilitas!$C$4*INDEX(Probabilitas!$C$10:$C$11,MATCH(D127,Probabilitas!$A$10:$A$11,0))*INDEX(Probabilitas!$C$16:$C$22,MATCH(E127,Probabilitas!$A$16:$A$22,0))*INDEX(Probabilitas!$C$27:$C$28,MATCH(F127,Probabilitas!$A$27:$A$28,0))</x:f>
        <x:v>0.051996678920991704</x:v>
      </x:c>
      <x:c r="I127" s="26" t="n">
        <x:f>Probabilitas!$C$5*INDEX(Probabilitas!$E$10:$E$11,MATCH(D127,Probabilitas!$A$10:$A$11,0))*INDEX(Probabilitas!$E$16:$E$22,MATCH(E127,Probabilitas!$A$16:$A$22,0))*INDEX(Probabilitas!$E$27:$E$28,MATCH(F127,Probabilitas!$A$27:$A$28,0))</x:f>
        <x:v>4.198188761032436e-7</x:v>
      </x:c>
      <x:c r="J127" s="26" t="n">
        <x:f>IFERROR(H127/(H127+I127),0)</x:f>
        <x:v>0.9999919261096046</x:v>
      </x:c>
      <x:c r="K127" s="26" t="n">
        <x:f>IFERROR(I127/(H127+I127),0)</x:f>
        <x:v>0.000008073890395376142</x:v>
      </x:c>
      <x:c r="L127" s="24" t="str">
        <x:f>IF(J127&gt;=K127,"Minat","Tidak minat")</x:f>
        <x:v>Minat</x:v>
      </x:c>
      <x:c r="M127" s="24" t="str">
        <x:f>IF(L127=G127,"Sesuai label latih","Berbeda dari label latih")</x:f>
        <x:v>Sesuai label latih</x:v>
      </x:c>
    </x:row>
    <x:row r="128">
      <x:c r="A128" s="24" t="n">
        <x:v>127</x:v>
      </x:c>
      <x:c r="B128" s="24" t="str">
        <x:v>MP2-P-030</x:v>
      </x:c>
      <x:c r="C128" s="24" t="str">
        <x:v>Siswa MP2 P-030</x:v>
      </x:c>
      <x:c r="D128" s="24" t="str">
        <x:v>MP / Manajemen Perkantoran</x:v>
      </x:c>
      <x:c r="E128" s="24" t="str">
        <x:v>MP 2</x:v>
      </x:c>
      <x:c r="F128" s="24" t="str">
        <x:v>Perempuan</x:v>
      </x:c>
      <x:c r="G128" s="24" t="str">
        <x:v>Minat</x:v>
      </x:c>
      <x:c r="H128" s="26" t="n">
        <x:f>Probabilitas!$C$4*INDEX(Probabilitas!$C$10:$C$11,MATCH(D128,Probabilitas!$A$10:$A$11,0))*INDEX(Probabilitas!$C$16:$C$22,MATCH(E128,Probabilitas!$A$16:$A$22,0))*INDEX(Probabilitas!$C$27:$C$28,MATCH(F128,Probabilitas!$A$27:$A$28,0))</x:f>
        <x:v>0.051996678920991704</x:v>
      </x:c>
      <x:c r="I128" s="26" t="n">
        <x:f>Probabilitas!$C$5*INDEX(Probabilitas!$E$10:$E$11,MATCH(D128,Probabilitas!$A$10:$A$11,0))*INDEX(Probabilitas!$E$16:$E$22,MATCH(E128,Probabilitas!$A$16:$A$22,0))*INDEX(Probabilitas!$E$27:$E$28,MATCH(F128,Probabilitas!$A$27:$A$28,0))</x:f>
        <x:v>4.198188761032436e-7</x:v>
      </x:c>
      <x:c r="J128" s="26" t="n">
        <x:f>IFERROR(H128/(H128+I128),0)</x:f>
        <x:v>0.9999919261096046</x:v>
      </x:c>
      <x:c r="K128" s="26" t="n">
        <x:f>IFERROR(I128/(H128+I128),0)</x:f>
        <x:v>0.000008073890395376142</x:v>
      </x:c>
      <x:c r="L128" s="24" t="str">
        <x:f>IF(J128&gt;=K128,"Minat","Tidak minat")</x:f>
        <x:v>Minat</x:v>
      </x:c>
      <x:c r="M128" s="24" t="str">
        <x:f>IF(L128=G128,"Sesuai label latih","Berbeda dari label latih")</x:f>
        <x:v>Sesuai label latih</x:v>
      </x:c>
    </x:row>
    <x:row r="129">
      <x:c r="A129" s="24" t="n">
        <x:v>128</x:v>
      </x:c>
      <x:c r="B129" s="24" t="str">
        <x:v>MP3-L-001</x:v>
      </x:c>
      <x:c r="C129" s="24" t="str">
        <x:v>Siswa MP3 L-001</x:v>
      </x:c>
      <x:c r="D129" s="24" t="str">
        <x:v>MP / Manajemen Perkantoran</x:v>
      </x:c>
      <x:c r="E129" s="24" t="str">
        <x:v>MP 3</x:v>
      </x:c>
      <x:c r="F129" s="24" t="str">
        <x:v>Laki-laki</x:v>
      </x:c>
      <x:c r="G129" s="24" t="str">
        <x:v>Minat</x:v>
      </x:c>
      <x:c r="H129" s="26" t="n">
        <x:f>Probabilitas!$C$4*INDEX(Probabilitas!$C$10:$C$11,MATCH(D129,Probabilitas!$A$10:$A$11,0))*INDEX(Probabilitas!$C$16:$C$22,MATCH(E129,Probabilitas!$A$16:$A$22,0))*INDEX(Probabilitas!$C$27:$C$28,MATCH(F129,Probabilitas!$A$27:$A$28,0))</x:f>
        <x:v>0.06758471105328705</x:v>
      </x:c>
      <x:c r="I129" s="26" t="n">
        <x:f>Probabilitas!$C$5*INDEX(Probabilitas!$E$10:$E$11,MATCH(D129,Probabilitas!$A$10:$A$11,0))*INDEX(Probabilitas!$E$16:$E$22,MATCH(E129,Probabilitas!$A$16:$A$22,0))*INDEX(Probabilitas!$E$27:$E$28,MATCH(F129,Probabilitas!$A$27:$A$28,0))</x:f>
        <x:v>0.000004548037824451806</x:v>
      </x:c>
      <x:c r="J129" s="26" t="n">
        <x:f>IFERROR(H129/(H129+I129),0)</x:f>
        <x:v>0.9999327106424067</x:v>
      </x:c>
      <x:c r="K129" s="26" t="n">
        <x:f>IFERROR(I129/(H129+I129),0)</x:f>
        <x:v>0.00006728935759335625</x:v>
      </x:c>
      <x:c r="L129" s="24" t="str">
        <x:f>IF(J129&gt;=K129,"Minat","Tidak minat")</x:f>
        <x:v>Minat</x:v>
      </x:c>
      <x:c r="M129" s="24" t="str">
        <x:f>IF(L129=G129,"Sesuai label latih","Berbeda dari label latih")</x:f>
        <x:v>Sesuai label latih</x:v>
      </x:c>
    </x:row>
    <x:row r="130">
      <x:c r="A130" s="24" t="n">
        <x:v>129</x:v>
      </x:c>
      <x:c r="B130" s="24" t="str">
        <x:v>MP3-L-002</x:v>
      </x:c>
      <x:c r="C130" s="24" t="str">
        <x:v>Siswa MP3 L-002</x:v>
      </x:c>
      <x:c r="D130" s="24" t="str">
        <x:v>MP / Manajemen Perkantoran</x:v>
      </x:c>
      <x:c r="E130" s="24" t="str">
        <x:v>MP 3</x:v>
      </x:c>
      <x:c r="F130" s="24" t="str">
        <x:v>Laki-laki</x:v>
      </x:c>
      <x:c r="G130" s="24" t="str">
        <x:v>Minat</x:v>
      </x:c>
      <x:c r="H130" s="26" t="n">
        <x:f>Probabilitas!$C$4*INDEX(Probabilitas!$C$10:$C$11,MATCH(D130,Probabilitas!$A$10:$A$11,0))*INDEX(Probabilitas!$C$16:$C$22,MATCH(E130,Probabilitas!$A$16:$A$22,0))*INDEX(Probabilitas!$C$27:$C$28,MATCH(F130,Probabilitas!$A$27:$A$28,0))</x:f>
        <x:v>0.06758471105328705</x:v>
      </x:c>
      <x:c r="I130" s="26" t="n">
        <x:f>Probabilitas!$C$5*INDEX(Probabilitas!$E$10:$E$11,MATCH(D130,Probabilitas!$A$10:$A$11,0))*INDEX(Probabilitas!$E$16:$E$22,MATCH(E130,Probabilitas!$A$16:$A$22,0))*INDEX(Probabilitas!$E$27:$E$28,MATCH(F130,Probabilitas!$A$27:$A$28,0))</x:f>
        <x:v>0.000004548037824451806</x:v>
      </x:c>
      <x:c r="J130" s="26" t="n">
        <x:f>IFERROR(H130/(H130+I130),0)</x:f>
        <x:v>0.9999327106424067</x:v>
      </x:c>
      <x:c r="K130" s="26" t="n">
        <x:f>IFERROR(I130/(H130+I130),0)</x:f>
        <x:v>0.00006728935759335625</x:v>
      </x:c>
      <x:c r="L130" s="24" t="str">
        <x:f>IF(J130&gt;=K130,"Minat","Tidak minat")</x:f>
        <x:v>Minat</x:v>
      </x:c>
      <x:c r="M130" s="24" t="str">
        <x:f>IF(L130=G130,"Sesuai label latih","Berbeda dari label latih")</x:f>
        <x:v>Sesuai label latih</x:v>
      </x:c>
    </x:row>
    <x:row r="131">
      <x:c r="A131" s="24" t="n">
        <x:v>130</x:v>
      </x:c>
      <x:c r="B131" s="24" t="str">
        <x:v>MP3-L-003</x:v>
      </x:c>
      <x:c r="C131" s="24" t="str">
        <x:v>Siswa MP3 L-003</x:v>
      </x:c>
      <x:c r="D131" s="24" t="str">
        <x:v>MP / Manajemen Perkantoran</x:v>
      </x:c>
      <x:c r="E131" s="24" t="str">
        <x:v>MP 3</x:v>
      </x:c>
      <x:c r="F131" s="24" t="str">
        <x:v>Laki-laki</x:v>
      </x:c>
      <x:c r="G131" s="24" t="str">
        <x:v>Minat</x:v>
      </x:c>
      <x:c r="H131" s="26" t="n">
        <x:f>Probabilitas!$C$4*INDEX(Probabilitas!$C$10:$C$11,MATCH(D131,Probabilitas!$A$10:$A$11,0))*INDEX(Probabilitas!$C$16:$C$22,MATCH(E131,Probabilitas!$A$16:$A$22,0))*INDEX(Probabilitas!$C$27:$C$28,MATCH(F131,Probabilitas!$A$27:$A$28,0))</x:f>
        <x:v>0.06758471105328705</x:v>
      </x:c>
      <x:c r="I131" s="26" t="n">
        <x:f>Probabilitas!$C$5*INDEX(Probabilitas!$E$10:$E$11,MATCH(D131,Probabilitas!$A$10:$A$11,0))*INDEX(Probabilitas!$E$16:$E$22,MATCH(E131,Probabilitas!$A$16:$A$22,0))*INDEX(Probabilitas!$E$27:$E$28,MATCH(F131,Probabilitas!$A$27:$A$28,0))</x:f>
        <x:v>0.000004548037824451806</x:v>
      </x:c>
      <x:c r="J131" s="26" t="n">
        <x:f>IFERROR(H131/(H131+I131),0)</x:f>
        <x:v>0.9999327106424067</x:v>
      </x:c>
      <x:c r="K131" s="26" t="n">
        <x:f>IFERROR(I131/(H131+I131),0)</x:f>
        <x:v>0.00006728935759335625</x:v>
      </x:c>
      <x:c r="L131" s="24" t="str">
        <x:f>IF(J131&gt;=K131,"Minat","Tidak minat")</x:f>
        <x:v>Minat</x:v>
      </x:c>
      <x:c r="M131" s="24" t="str">
        <x:f>IF(L131=G131,"Sesuai label latih","Berbeda dari label latih")</x:f>
        <x:v>Sesuai label latih</x:v>
      </x:c>
    </x:row>
    <x:row r="132">
      <x:c r="A132" s="24" t="n">
        <x:v>131</x:v>
      </x:c>
      <x:c r="B132" s="24" t="str">
        <x:v>MP3-L-004</x:v>
      </x:c>
      <x:c r="C132" s="24" t="str">
        <x:v>Siswa MP3 L-004</x:v>
      </x:c>
      <x:c r="D132" s="24" t="str">
        <x:v>MP / Manajemen Perkantoran</x:v>
      </x:c>
      <x:c r="E132" s="24" t="str">
        <x:v>MP 3</x:v>
      </x:c>
      <x:c r="F132" s="24" t="str">
        <x:v>Laki-laki</x:v>
      </x:c>
      <x:c r="G132" s="24" t="str">
        <x:v>Minat</x:v>
      </x:c>
      <x:c r="H132" s="26" t="n">
        <x:f>Probabilitas!$C$4*INDEX(Probabilitas!$C$10:$C$11,MATCH(D132,Probabilitas!$A$10:$A$11,0))*INDEX(Probabilitas!$C$16:$C$22,MATCH(E132,Probabilitas!$A$16:$A$22,0))*INDEX(Probabilitas!$C$27:$C$28,MATCH(F132,Probabilitas!$A$27:$A$28,0))</x:f>
        <x:v>0.06758471105328705</x:v>
      </x:c>
      <x:c r="I132" s="26" t="n">
        <x:f>Probabilitas!$C$5*INDEX(Probabilitas!$E$10:$E$11,MATCH(D132,Probabilitas!$A$10:$A$11,0))*INDEX(Probabilitas!$E$16:$E$22,MATCH(E132,Probabilitas!$A$16:$A$22,0))*INDEX(Probabilitas!$E$27:$E$28,MATCH(F132,Probabilitas!$A$27:$A$28,0))</x:f>
        <x:v>0.000004548037824451806</x:v>
      </x:c>
      <x:c r="J132" s="26" t="n">
        <x:f>IFERROR(H132/(H132+I132),0)</x:f>
        <x:v>0.9999327106424067</x:v>
      </x:c>
      <x:c r="K132" s="26" t="n">
        <x:f>IFERROR(I132/(H132+I132),0)</x:f>
        <x:v>0.00006728935759335625</x:v>
      </x:c>
      <x:c r="L132" s="24" t="str">
        <x:f>IF(J132&gt;=K132,"Minat","Tidak minat")</x:f>
        <x:v>Minat</x:v>
      </x:c>
      <x:c r="M132" s="24" t="str">
        <x:f>IF(L132=G132,"Sesuai label latih","Berbeda dari label latih")</x:f>
        <x:v>Sesuai label latih</x:v>
      </x:c>
    </x:row>
    <x:row r="133">
      <x:c r="A133" s="24" t="n">
        <x:v>132</x:v>
      </x:c>
      <x:c r="B133" s="24" t="str">
        <x:v>MP3-L-005</x:v>
      </x:c>
      <x:c r="C133" s="24" t="str">
        <x:v>Siswa MP3 L-005</x:v>
      </x:c>
      <x:c r="D133" s="24" t="str">
        <x:v>MP / Manajemen Perkantoran</x:v>
      </x:c>
      <x:c r="E133" s="24" t="str">
        <x:v>MP 3</x:v>
      </x:c>
      <x:c r="F133" s="24" t="str">
        <x:v>Laki-laki</x:v>
      </x:c>
      <x:c r="G133" s="24" t="str">
        <x:v>Minat</x:v>
      </x:c>
      <x:c r="H133" s="26" t="n">
        <x:f>Probabilitas!$C$4*INDEX(Probabilitas!$C$10:$C$11,MATCH(D133,Probabilitas!$A$10:$A$11,0))*INDEX(Probabilitas!$C$16:$C$22,MATCH(E133,Probabilitas!$A$16:$A$22,0))*INDEX(Probabilitas!$C$27:$C$28,MATCH(F133,Probabilitas!$A$27:$A$28,0))</x:f>
        <x:v>0.06758471105328705</x:v>
      </x:c>
      <x:c r="I133" s="26" t="n">
        <x:f>Probabilitas!$C$5*INDEX(Probabilitas!$E$10:$E$11,MATCH(D133,Probabilitas!$A$10:$A$11,0))*INDEX(Probabilitas!$E$16:$E$22,MATCH(E133,Probabilitas!$A$16:$A$22,0))*INDEX(Probabilitas!$E$27:$E$28,MATCH(F133,Probabilitas!$A$27:$A$28,0))</x:f>
        <x:v>0.000004548037824451806</x:v>
      </x:c>
      <x:c r="J133" s="26" t="n">
        <x:f>IFERROR(H133/(H133+I133),0)</x:f>
        <x:v>0.9999327106424067</x:v>
      </x:c>
      <x:c r="K133" s="26" t="n">
        <x:f>IFERROR(I133/(H133+I133),0)</x:f>
        <x:v>0.00006728935759335625</x:v>
      </x:c>
      <x:c r="L133" s="24" t="str">
        <x:f>IF(J133&gt;=K133,"Minat","Tidak minat")</x:f>
        <x:v>Minat</x:v>
      </x:c>
      <x:c r="M133" s="24" t="str">
        <x:f>IF(L133=G133,"Sesuai label latih","Berbeda dari label latih")</x:f>
        <x:v>Sesuai label latih</x:v>
      </x:c>
    </x:row>
    <x:row r="134">
      <x:c r="A134" s="24" t="n">
        <x:v>133</x:v>
      </x:c>
      <x:c r="B134" s="24" t="str">
        <x:v>MP3-L-006</x:v>
      </x:c>
      <x:c r="C134" s="24" t="str">
        <x:v>Siswa MP3 L-006</x:v>
      </x:c>
      <x:c r="D134" s="24" t="str">
        <x:v>MP / Manajemen Perkantoran</x:v>
      </x:c>
      <x:c r="E134" s="24" t="str">
        <x:v>MP 3</x:v>
      </x:c>
      <x:c r="F134" s="24" t="str">
        <x:v>Laki-laki</x:v>
      </x:c>
      <x:c r="G134" s="24" t="str">
        <x:v>Minat</x:v>
      </x:c>
      <x:c r="H134" s="26" t="n">
        <x:f>Probabilitas!$C$4*INDEX(Probabilitas!$C$10:$C$11,MATCH(D134,Probabilitas!$A$10:$A$11,0))*INDEX(Probabilitas!$C$16:$C$22,MATCH(E134,Probabilitas!$A$16:$A$22,0))*INDEX(Probabilitas!$C$27:$C$28,MATCH(F134,Probabilitas!$A$27:$A$28,0))</x:f>
        <x:v>0.06758471105328705</x:v>
      </x:c>
      <x:c r="I134" s="26" t="n">
        <x:f>Probabilitas!$C$5*INDEX(Probabilitas!$E$10:$E$11,MATCH(D134,Probabilitas!$A$10:$A$11,0))*INDEX(Probabilitas!$E$16:$E$22,MATCH(E134,Probabilitas!$A$16:$A$22,0))*INDEX(Probabilitas!$E$27:$E$28,MATCH(F134,Probabilitas!$A$27:$A$28,0))</x:f>
        <x:v>0.000004548037824451806</x:v>
      </x:c>
      <x:c r="J134" s="26" t="n">
        <x:f>IFERROR(H134/(H134+I134),0)</x:f>
        <x:v>0.9999327106424067</x:v>
      </x:c>
      <x:c r="K134" s="26" t="n">
        <x:f>IFERROR(I134/(H134+I134),0)</x:f>
        <x:v>0.00006728935759335625</x:v>
      </x:c>
      <x:c r="L134" s="24" t="str">
        <x:f>IF(J134&gt;=K134,"Minat","Tidak minat")</x:f>
        <x:v>Minat</x:v>
      </x:c>
      <x:c r="M134" s="24" t="str">
        <x:f>IF(L134=G134,"Sesuai label latih","Berbeda dari label latih")</x:f>
        <x:v>Sesuai label latih</x:v>
      </x:c>
    </x:row>
    <x:row r="135">
      <x:c r="A135" s="24" t="n">
        <x:v>134</x:v>
      </x:c>
      <x:c r="B135" s="24" t="str">
        <x:v>MP3-L-007</x:v>
      </x:c>
      <x:c r="C135" s="24" t="str">
        <x:v>Siswa MP3 L-007</x:v>
      </x:c>
      <x:c r="D135" s="24" t="str">
        <x:v>MP / Manajemen Perkantoran</x:v>
      </x:c>
      <x:c r="E135" s="24" t="str">
        <x:v>MP 3</x:v>
      </x:c>
      <x:c r="F135" s="24" t="str">
        <x:v>Laki-laki</x:v>
      </x:c>
      <x:c r="G135" s="24" t="str">
        <x:v>Minat</x:v>
      </x:c>
      <x:c r="H135" s="26" t="n">
        <x:f>Probabilitas!$C$4*INDEX(Probabilitas!$C$10:$C$11,MATCH(D135,Probabilitas!$A$10:$A$11,0))*INDEX(Probabilitas!$C$16:$C$22,MATCH(E135,Probabilitas!$A$16:$A$22,0))*INDEX(Probabilitas!$C$27:$C$28,MATCH(F135,Probabilitas!$A$27:$A$28,0))</x:f>
        <x:v>0.06758471105328705</x:v>
      </x:c>
      <x:c r="I135" s="26" t="n">
        <x:f>Probabilitas!$C$5*INDEX(Probabilitas!$E$10:$E$11,MATCH(D135,Probabilitas!$A$10:$A$11,0))*INDEX(Probabilitas!$E$16:$E$22,MATCH(E135,Probabilitas!$A$16:$A$22,0))*INDEX(Probabilitas!$E$27:$E$28,MATCH(F135,Probabilitas!$A$27:$A$28,0))</x:f>
        <x:v>0.000004548037824451806</x:v>
      </x:c>
      <x:c r="J135" s="26" t="n">
        <x:f>IFERROR(H135/(H135+I135),0)</x:f>
        <x:v>0.9999327106424067</x:v>
      </x:c>
      <x:c r="K135" s="26" t="n">
        <x:f>IFERROR(I135/(H135+I135),0)</x:f>
        <x:v>0.00006728935759335625</x:v>
      </x:c>
      <x:c r="L135" s="24" t="str">
        <x:f>IF(J135&gt;=K135,"Minat","Tidak minat")</x:f>
        <x:v>Minat</x:v>
      </x:c>
      <x:c r="M135" s="24" t="str">
        <x:f>IF(L135=G135,"Sesuai label latih","Berbeda dari label latih")</x:f>
        <x:v>Sesuai label latih</x:v>
      </x:c>
    </x:row>
    <x:row r="136">
      <x:c r="A136" s="24" t="n">
        <x:v>135</x:v>
      </x:c>
      <x:c r="B136" s="24" t="str">
        <x:v>MP3-L-008</x:v>
      </x:c>
      <x:c r="C136" s="24" t="str">
        <x:v>Siswa MP3 L-008</x:v>
      </x:c>
      <x:c r="D136" s="24" t="str">
        <x:v>MP / Manajemen Perkantoran</x:v>
      </x:c>
      <x:c r="E136" s="24" t="str">
        <x:v>MP 3</x:v>
      </x:c>
      <x:c r="F136" s="24" t="str">
        <x:v>Laki-laki</x:v>
      </x:c>
      <x:c r="G136" s="24" t="str">
        <x:v>Minat</x:v>
      </x:c>
      <x:c r="H136" s="26" t="n">
        <x:f>Probabilitas!$C$4*INDEX(Probabilitas!$C$10:$C$11,MATCH(D136,Probabilitas!$A$10:$A$11,0))*INDEX(Probabilitas!$C$16:$C$22,MATCH(E136,Probabilitas!$A$16:$A$22,0))*INDEX(Probabilitas!$C$27:$C$28,MATCH(F136,Probabilitas!$A$27:$A$28,0))</x:f>
        <x:v>0.06758471105328705</x:v>
      </x:c>
      <x:c r="I136" s="26" t="n">
        <x:f>Probabilitas!$C$5*INDEX(Probabilitas!$E$10:$E$11,MATCH(D136,Probabilitas!$A$10:$A$11,0))*INDEX(Probabilitas!$E$16:$E$22,MATCH(E136,Probabilitas!$A$16:$A$22,0))*INDEX(Probabilitas!$E$27:$E$28,MATCH(F136,Probabilitas!$A$27:$A$28,0))</x:f>
        <x:v>0.000004548037824451806</x:v>
      </x:c>
      <x:c r="J136" s="26" t="n">
        <x:f>IFERROR(H136/(H136+I136),0)</x:f>
        <x:v>0.9999327106424067</x:v>
      </x:c>
      <x:c r="K136" s="26" t="n">
        <x:f>IFERROR(I136/(H136+I136),0)</x:f>
        <x:v>0.00006728935759335625</x:v>
      </x:c>
      <x:c r="L136" s="24" t="str">
        <x:f>IF(J136&gt;=K136,"Minat","Tidak minat")</x:f>
        <x:v>Minat</x:v>
      </x:c>
      <x:c r="M136" s="24" t="str">
        <x:f>IF(L136=G136,"Sesuai label latih","Berbeda dari label latih")</x:f>
        <x:v>Sesuai label latih</x:v>
      </x:c>
    </x:row>
    <x:row r="137">
      <x:c r="A137" s="24" t="n">
        <x:v>136</x:v>
      </x:c>
      <x:c r="B137" s="24" t="str">
        <x:v>MP3-L-009</x:v>
      </x:c>
      <x:c r="C137" s="24" t="str">
        <x:v>Siswa MP3 L-009</x:v>
      </x:c>
      <x:c r="D137" s="24" t="str">
        <x:v>MP / Manajemen Perkantoran</x:v>
      </x:c>
      <x:c r="E137" s="24" t="str">
        <x:v>MP 3</x:v>
      </x:c>
      <x:c r="F137" s="24" t="str">
        <x:v>Laki-laki</x:v>
      </x:c>
      <x:c r="G137" s="24" t="str">
        <x:v>Minat</x:v>
      </x:c>
      <x:c r="H137" s="26" t="n">
        <x:f>Probabilitas!$C$4*INDEX(Probabilitas!$C$10:$C$11,MATCH(D137,Probabilitas!$A$10:$A$11,0))*INDEX(Probabilitas!$C$16:$C$22,MATCH(E137,Probabilitas!$A$16:$A$22,0))*INDEX(Probabilitas!$C$27:$C$28,MATCH(F137,Probabilitas!$A$27:$A$28,0))</x:f>
        <x:v>0.06758471105328705</x:v>
      </x:c>
      <x:c r="I137" s="26" t="n">
        <x:f>Probabilitas!$C$5*INDEX(Probabilitas!$E$10:$E$11,MATCH(D137,Probabilitas!$A$10:$A$11,0))*INDEX(Probabilitas!$E$16:$E$22,MATCH(E137,Probabilitas!$A$16:$A$22,0))*INDEX(Probabilitas!$E$27:$E$28,MATCH(F137,Probabilitas!$A$27:$A$28,0))</x:f>
        <x:v>0.000004548037824451806</x:v>
      </x:c>
      <x:c r="J137" s="26" t="n">
        <x:f>IFERROR(H137/(H137+I137),0)</x:f>
        <x:v>0.9999327106424067</x:v>
      </x:c>
      <x:c r="K137" s="26" t="n">
        <x:f>IFERROR(I137/(H137+I137),0)</x:f>
        <x:v>0.00006728935759335625</x:v>
      </x:c>
      <x:c r="L137" s="24" t="str">
        <x:f>IF(J137&gt;=K137,"Minat","Tidak minat")</x:f>
        <x:v>Minat</x:v>
      </x:c>
      <x:c r="M137" s="24" t="str">
        <x:f>IF(L137=G137,"Sesuai label latih","Berbeda dari label latih")</x:f>
        <x:v>Sesuai label latih</x:v>
      </x:c>
    </x:row>
    <x:row r="138">
      <x:c r="A138" s="24" t="n">
        <x:v>137</x:v>
      </x:c>
      <x:c r="B138" s="24" t="str">
        <x:v>MP3-L-010</x:v>
      </x:c>
      <x:c r="C138" s="24" t="str">
        <x:v>Siswa MP3 L-010</x:v>
      </x:c>
      <x:c r="D138" s="24" t="str">
        <x:v>MP / Manajemen Perkantoran</x:v>
      </x:c>
      <x:c r="E138" s="24" t="str">
        <x:v>MP 3</x:v>
      </x:c>
      <x:c r="F138" s="24" t="str">
        <x:v>Laki-laki</x:v>
      </x:c>
      <x:c r="G138" s="24" t="str">
        <x:v>Minat</x:v>
      </x:c>
      <x:c r="H138" s="26" t="n">
        <x:f>Probabilitas!$C$4*INDEX(Probabilitas!$C$10:$C$11,MATCH(D138,Probabilitas!$A$10:$A$11,0))*INDEX(Probabilitas!$C$16:$C$22,MATCH(E138,Probabilitas!$A$16:$A$22,0))*INDEX(Probabilitas!$C$27:$C$28,MATCH(F138,Probabilitas!$A$27:$A$28,0))</x:f>
        <x:v>0.06758471105328705</x:v>
      </x:c>
      <x:c r="I138" s="26" t="n">
        <x:f>Probabilitas!$C$5*INDEX(Probabilitas!$E$10:$E$11,MATCH(D138,Probabilitas!$A$10:$A$11,0))*INDEX(Probabilitas!$E$16:$E$22,MATCH(E138,Probabilitas!$A$16:$A$22,0))*INDEX(Probabilitas!$E$27:$E$28,MATCH(F138,Probabilitas!$A$27:$A$28,0))</x:f>
        <x:v>0.000004548037824451806</x:v>
      </x:c>
      <x:c r="J138" s="26" t="n">
        <x:f>IFERROR(H138/(H138+I138),0)</x:f>
        <x:v>0.9999327106424067</x:v>
      </x:c>
      <x:c r="K138" s="26" t="n">
        <x:f>IFERROR(I138/(H138+I138),0)</x:f>
        <x:v>0.00006728935759335625</x:v>
      </x:c>
      <x:c r="L138" s="24" t="str">
        <x:f>IF(J138&gt;=K138,"Minat","Tidak minat")</x:f>
        <x:v>Minat</x:v>
      </x:c>
      <x:c r="M138" s="24" t="str">
        <x:f>IF(L138=G138,"Sesuai label latih","Berbeda dari label latih")</x:f>
        <x:v>Sesuai label latih</x:v>
      </x:c>
    </x:row>
    <x:row r="139">
      <x:c r="A139" s="24" t="n">
        <x:v>138</x:v>
      </x:c>
      <x:c r="B139" s="24" t="str">
        <x:v>MP3-L-011</x:v>
      </x:c>
      <x:c r="C139" s="24" t="str">
        <x:v>Siswa MP3 L-011</x:v>
      </x:c>
      <x:c r="D139" s="24" t="str">
        <x:v>MP / Manajemen Perkantoran</x:v>
      </x:c>
      <x:c r="E139" s="24" t="str">
        <x:v>MP 3</x:v>
      </x:c>
      <x:c r="F139" s="24" t="str">
        <x:v>Laki-laki</x:v>
      </x:c>
      <x:c r="G139" s="24" t="str">
        <x:v>Minat</x:v>
      </x:c>
      <x:c r="H139" s="26" t="n">
        <x:f>Probabilitas!$C$4*INDEX(Probabilitas!$C$10:$C$11,MATCH(D139,Probabilitas!$A$10:$A$11,0))*INDEX(Probabilitas!$C$16:$C$22,MATCH(E139,Probabilitas!$A$16:$A$22,0))*INDEX(Probabilitas!$C$27:$C$28,MATCH(F139,Probabilitas!$A$27:$A$28,0))</x:f>
        <x:v>0.06758471105328705</x:v>
      </x:c>
      <x:c r="I139" s="26" t="n">
        <x:f>Probabilitas!$C$5*INDEX(Probabilitas!$E$10:$E$11,MATCH(D139,Probabilitas!$A$10:$A$11,0))*INDEX(Probabilitas!$E$16:$E$22,MATCH(E139,Probabilitas!$A$16:$A$22,0))*INDEX(Probabilitas!$E$27:$E$28,MATCH(F139,Probabilitas!$A$27:$A$28,0))</x:f>
        <x:v>0.000004548037824451806</x:v>
      </x:c>
      <x:c r="J139" s="26" t="n">
        <x:f>IFERROR(H139/(H139+I139),0)</x:f>
        <x:v>0.9999327106424067</x:v>
      </x:c>
      <x:c r="K139" s="26" t="n">
        <x:f>IFERROR(I139/(H139+I139),0)</x:f>
        <x:v>0.00006728935759335625</x:v>
      </x:c>
      <x:c r="L139" s="24" t="str">
        <x:f>IF(J139&gt;=K139,"Minat","Tidak minat")</x:f>
        <x:v>Minat</x:v>
      </x:c>
      <x:c r="M139" s="24" t="str">
        <x:f>IF(L139=G139,"Sesuai label latih","Berbeda dari label latih")</x:f>
        <x:v>Sesuai label latih</x:v>
      </x:c>
    </x:row>
    <x:row r="140">
      <x:c r="A140" s="24" t="n">
        <x:v>139</x:v>
      </x:c>
      <x:c r="B140" s="24" t="str">
        <x:v>MP3-L-012</x:v>
      </x:c>
      <x:c r="C140" s="24" t="str">
        <x:v>Siswa MP3 L-012</x:v>
      </x:c>
      <x:c r="D140" s="24" t="str">
        <x:v>MP / Manajemen Perkantoran</x:v>
      </x:c>
      <x:c r="E140" s="24" t="str">
        <x:v>MP 3</x:v>
      </x:c>
      <x:c r="F140" s="24" t="str">
        <x:v>Laki-laki</x:v>
      </x:c>
      <x:c r="G140" s="24" t="str">
        <x:v>Minat</x:v>
      </x:c>
      <x:c r="H140" s="26" t="n">
        <x:f>Probabilitas!$C$4*INDEX(Probabilitas!$C$10:$C$11,MATCH(D140,Probabilitas!$A$10:$A$11,0))*INDEX(Probabilitas!$C$16:$C$22,MATCH(E140,Probabilitas!$A$16:$A$22,0))*INDEX(Probabilitas!$C$27:$C$28,MATCH(F140,Probabilitas!$A$27:$A$28,0))</x:f>
        <x:v>0.06758471105328705</x:v>
      </x:c>
      <x:c r="I140" s="26" t="n">
        <x:f>Probabilitas!$C$5*INDEX(Probabilitas!$E$10:$E$11,MATCH(D140,Probabilitas!$A$10:$A$11,0))*INDEX(Probabilitas!$E$16:$E$22,MATCH(E140,Probabilitas!$A$16:$A$22,0))*INDEX(Probabilitas!$E$27:$E$28,MATCH(F140,Probabilitas!$A$27:$A$28,0))</x:f>
        <x:v>0.000004548037824451806</x:v>
      </x:c>
      <x:c r="J140" s="26" t="n">
        <x:f>IFERROR(H140/(H140+I140),0)</x:f>
        <x:v>0.9999327106424067</x:v>
      </x:c>
      <x:c r="K140" s="26" t="n">
        <x:f>IFERROR(I140/(H140+I140),0)</x:f>
        <x:v>0.00006728935759335625</x:v>
      </x:c>
      <x:c r="L140" s="24" t="str">
        <x:f>IF(J140&gt;=K140,"Minat","Tidak minat")</x:f>
        <x:v>Minat</x:v>
      </x:c>
      <x:c r="M140" s="24" t="str">
        <x:f>IF(L140=G140,"Sesuai label latih","Berbeda dari label latih")</x:f>
        <x:v>Sesuai label latih</x:v>
      </x:c>
    </x:row>
    <x:row r="141">
      <x:c r="A141" s="24" t="n">
        <x:v>140</x:v>
      </x:c>
      <x:c r="B141" s="24" t="str">
        <x:v>MP3-L-013</x:v>
      </x:c>
      <x:c r="C141" s="24" t="str">
        <x:v>Siswa MP3 L-013</x:v>
      </x:c>
      <x:c r="D141" s="24" t="str">
        <x:v>MP / Manajemen Perkantoran</x:v>
      </x:c>
      <x:c r="E141" s="24" t="str">
        <x:v>MP 3</x:v>
      </x:c>
      <x:c r="F141" s="24" t="str">
        <x:v>Laki-laki</x:v>
      </x:c>
      <x:c r="G141" s="24" t="str">
        <x:v>Minat</x:v>
      </x:c>
      <x:c r="H141" s="26" t="n">
        <x:f>Probabilitas!$C$4*INDEX(Probabilitas!$C$10:$C$11,MATCH(D141,Probabilitas!$A$10:$A$11,0))*INDEX(Probabilitas!$C$16:$C$22,MATCH(E141,Probabilitas!$A$16:$A$22,0))*INDEX(Probabilitas!$C$27:$C$28,MATCH(F141,Probabilitas!$A$27:$A$28,0))</x:f>
        <x:v>0.06758471105328705</x:v>
      </x:c>
      <x:c r="I141" s="26" t="n">
        <x:f>Probabilitas!$C$5*INDEX(Probabilitas!$E$10:$E$11,MATCH(D141,Probabilitas!$A$10:$A$11,0))*INDEX(Probabilitas!$E$16:$E$22,MATCH(E141,Probabilitas!$A$16:$A$22,0))*INDEX(Probabilitas!$E$27:$E$28,MATCH(F141,Probabilitas!$A$27:$A$28,0))</x:f>
        <x:v>0.000004548037824451806</x:v>
      </x:c>
      <x:c r="J141" s="26" t="n">
        <x:f>IFERROR(H141/(H141+I141),0)</x:f>
        <x:v>0.9999327106424067</x:v>
      </x:c>
      <x:c r="K141" s="26" t="n">
        <x:f>IFERROR(I141/(H141+I141),0)</x:f>
        <x:v>0.00006728935759335625</x:v>
      </x:c>
      <x:c r="L141" s="24" t="str">
        <x:f>IF(J141&gt;=K141,"Minat","Tidak minat")</x:f>
        <x:v>Minat</x:v>
      </x:c>
      <x:c r="M141" s="24" t="str">
        <x:f>IF(L141=G141,"Sesuai label latih","Berbeda dari label latih")</x:f>
        <x:v>Sesuai label latih</x:v>
      </x:c>
    </x:row>
    <x:row r="142">
      <x:c r="A142" s="24" t="n">
        <x:v>141</x:v>
      </x:c>
      <x:c r="B142" s="24" t="str">
        <x:v>MP3-L-014</x:v>
      </x:c>
      <x:c r="C142" s="24" t="str">
        <x:v>Siswa MP3 L-014</x:v>
      </x:c>
      <x:c r="D142" s="24" t="str">
        <x:v>MP / Manajemen Perkantoran</x:v>
      </x:c>
      <x:c r="E142" s="24" t="str">
        <x:v>MP 3</x:v>
      </x:c>
      <x:c r="F142" s="24" t="str">
        <x:v>Laki-laki</x:v>
      </x:c>
      <x:c r="G142" s="24" t="str">
        <x:v>Minat</x:v>
      </x:c>
      <x:c r="H142" s="26" t="n">
        <x:f>Probabilitas!$C$4*INDEX(Probabilitas!$C$10:$C$11,MATCH(D142,Probabilitas!$A$10:$A$11,0))*INDEX(Probabilitas!$C$16:$C$22,MATCH(E142,Probabilitas!$A$16:$A$22,0))*INDEX(Probabilitas!$C$27:$C$28,MATCH(F142,Probabilitas!$A$27:$A$28,0))</x:f>
        <x:v>0.06758471105328705</x:v>
      </x:c>
      <x:c r="I142" s="26" t="n">
        <x:f>Probabilitas!$C$5*INDEX(Probabilitas!$E$10:$E$11,MATCH(D142,Probabilitas!$A$10:$A$11,0))*INDEX(Probabilitas!$E$16:$E$22,MATCH(E142,Probabilitas!$A$16:$A$22,0))*INDEX(Probabilitas!$E$27:$E$28,MATCH(F142,Probabilitas!$A$27:$A$28,0))</x:f>
        <x:v>0.000004548037824451806</x:v>
      </x:c>
      <x:c r="J142" s="26" t="n">
        <x:f>IFERROR(H142/(H142+I142),0)</x:f>
        <x:v>0.9999327106424067</x:v>
      </x:c>
      <x:c r="K142" s="26" t="n">
        <x:f>IFERROR(I142/(H142+I142),0)</x:f>
        <x:v>0.00006728935759335625</x:v>
      </x:c>
      <x:c r="L142" s="24" t="str">
        <x:f>IF(J142&gt;=K142,"Minat","Tidak minat")</x:f>
        <x:v>Minat</x:v>
      </x:c>
      <x:c r="M142" s="24" t="str">
        <x:f>IF(L142=G142,"Sesuai label latih","Berbeda dari label latih")</x:f>
        <x:v>Sesuai label latih</x:v>
      </x:c>
    </x:row>
    <x:row r="143">
      <x:c r="A143" s="24" t="n">
        <x:v>142</x:v>
      </x:c>
      <x:c r="B143" s="24" t="str">
        <x:v>MP3-L-015</x:v>
      </x:c>
      <x:c r="C143" s="24" t="str">
        <x:v>Siswa MP3 L-015</x:v>
      </x:c>
      <x:c r="D143" s="24" t="str">
        <x:v>MP / Manajemen Perkantoran</x:v>
      </x:c>
      <x:c r="E143" s="24" t="str">
        <x:v>MP 3</x:v>
      </x:c>
      <x:c r="F143" s="24" t="str">
        <x:v>Laki-laki</x:v>
      </x:c>
      <x:c r="G143" s="24" t="str">
        <x:v>Minat</x:v>
      </x:c>
      <x:c r="H143" s="26" t="n">
        <x:f>Probabilitas!$C$4*INDEX(Probabilitas!$C$10:$C$11,MATCH(D143,Probabilitas!$A$10:$A$11,0))*INDEX(Probabilitas!$C$16:$C$22,MATCH(E143,Probabilitas!$A$16:$A$22,0))*INDEX(Probabilitas!$C$27:$C$28,MATCH(F143,Probabilitas!$A$27:$A$28,0))</x:f>
        <x:v>0.06758471105328705</x:v>
      </x:c>
      <x:c r="I143" s="26" t="n">
        <x:f>Probabilitas!$C$5*INDEX(Probabilitas!$E$10:$E$11,MATCH(D143,Probabilitas!$A$10:$A$11,0))*INDEX(Probabilitas!$E$16:$E$22,MATCH(E143,Probabilitas!$A$16:$A$22,0))*INDEX(Probabilitas!$E$27:$E$28,MATCH(F143,Probabilitas!$A$27:$A$28,0))</x:f>
        <x:v>0.000004548037824451806</x:v>
      </x:c>
      <x:c r="J143" s="26" t="n">
        <x:f>IFERROR(H143/(H143+I143),0)</x:f>
        <x:v>0.9999327106424067</x:v>
      </x:c>
      <x:c r="K143" s="26" t="n">
        <x:f>IFERROR(I143/(H143+I143),0)</x:f>
        <x:v>0.00006728935759335625</x:v>
      </x:c>
      <x:c r="L143" s="24" t="str">
        <x:f>IF(J143&gt;=K143,"Minat","Tidak minat")</x:f>
        <x:v>Minat</x:v>
      </x:c>
      <x:c r="M143" s="24" t="str">
        <x:f>IF(L143=G143,"Sesuai label latih","Berbeda dari label latih")</x:f>
        <x:v>Sesuai label latih</x:v>
      </x:c>
    </x:row>
    <x:row r="144">
      <x:c r="A144" s="24" t="n">
        <x:v>143</x:v>
      </x:c>
      <x:c r="B144" s="24" t="str">
        <x:v>MP3-L-016</x:v>
      </x:c>
      <x:c r="C144" s="24" t="str">
        <x:v>Siswa MP3 L-016</x:v>
      </x:c>
      <x:c r="D144" s="24" t="str">
        <x:v>MP / Manajemen Perkantoran</x:v>
      </x:c>
      <x:c r="E144" s="24" t="str">
        <x:v>MP 3</x:v>
      </x:c>
      <x:c r="F144" s="24" t="str">
        <x:v>Laki-laki</x:v>
      </x:c>
      <x:c r="G144" s="24" t="str">
        <x:v>Minat</x:v>
      </x:c>
      <x:c r="H144" s="26" t="n">
        <x:f>Probabilitas!$C$4*INDEX(Probabilitas!$C$10:$C$11,MATCH(D144,Probabilitas!$A$10:$A$11,0))*INDEX(Probabilitas!$C$16:$C$22,MATCH(E144,Probabilitas!$A$16:$A$22,0))*INDEX(Probabilitas!$C$27:$C$28,MATCH(F144,Probabilitas!$A$27:$A$28,0))</x:f>
        <x:v>0.06758471105328705</x:v>
      </x:c>
      <x:c r="I144" s="26" t="n">
        <x:f>Probabilitas!$C$5*INDEX(Probabilitas!$E$10:$E$11,MATCH(D144,Probabilitas!$A$10:$A$11,0))*INDEX(Probabilitas!$E$16:$E$22,MATCH(E144,Probabilitas!$A$16:$A$22,0))*INDEX(Probabilitas!$E$27:$E$28,MATCH(F144,Probabilitas!$A$27:$A$28,0))</x:f>
        <x:v>0.000004548037824451806</x:v>
      </x:c>
      <x:c r="J144" s="26" t="n">
        <x:f>IFERROR(H144/(H144+I144),0)</x:f>
        <x:v>0.9999327106424067</x:v>
      </x:c>
      <x:c r="K144" s="26" t="n">
        <x:f>IFERROR(I144/(H144+I144),0)</x:f>
        <x:v>0.00006728935759335625</x:v>
      </x:c>
      <x:c r="L144" s="24" t="str">
        <x:f>IF(J144&gt;=K144,"Minat","Tidak minat")</x:f>
        <x:v>Minat</x:v>
      </x:c>
      <x:c r="M144" s="24" t="str">
        <x:f>IF(L144=G144,"Sesuai label latih","Berbeda dari label latih")</x:f>
        <x:v>Sesuai label latih</x:v>
      </x:c>
    </x:row>
    <x:row r="145">
      <x:c r="A145" s="24" t="n">
        <x:v>144</x:v>
      </x:c>
      <x:c r="B145" s="24" t="str">
        <x:v>MP3-L-017</x:v>
      </x:c>
      <x:c r="C145" s="24" t="str">
        <x:v>Siswa MP3 L-017</x:v>
      </x:c>
      <x:c r="D145" s="24" t="str">
        <x:v>MP / Manajemen Perkantoran</x:v>
      </x:c>
      <x:c r="E145" s="24" t="str">
        <x:v>MP 3</x:v>
      </x:c>
      <x:c r="F145" s="24" t="str">
        <x:v>Laki-laki</x:v>
      </x:c>
      <x:c r="G145" s="24" t="str">
        <x:v>Minat</x:v>
      </x:c>
      <x:c r="H145" s="26" t="n">
        <x:f>Probabilitas!$C$4*INDEX(Probabilitas!$C$10:$C$11,MATCH(D145,Probabilitas!$A$10:$A$11,0))*INDEX(Probabilitas!$C$16:$C$22,MATCH(E145,Probabilitas!$A$16:$A$22,0))*INDEX(Probabilitas!$C$27:$C$28,MATCH(F145,Probabilitas!$A$27:$A$28,0))</x:f>
        <x:v>0.06758471105328705</x:v>
      </x:c>
      <x:c r="I145" s="26" t="n">
        <x:f>Probabilitas!$C$5*INDEX(Probabilitas!$E$10:$E$11,MATCH(D145,Probabilitas!$A$10:$A$11,0))*INDEX(Probabilitas!$E$16:$E$22,MATCH(E145,Probabilitas!$A$16:$A$22,0))*INDEX(Probabilitas!$E$27:$E$28,MATCH(F145,Probabilitas!$A$27:$A$28,0))</x:f>
        <x:v>0.000004548037824451806</x:v>
      </x:c>
      <x:c r="J145" s="26" t="n">
        <x:f>IFERROR(H145/(H145+I145),0)</x:f>
        <x:v>0.9999327106424067</x:v>
      </x:c>
      <x:c r="K145" s="26" t="n">
        <x:f>IFERROR(I145/(H145+I145),0)</x:f>
        <x:v>0.00006728935759335625</x:v>
      </x:c>
      <x:c r="L145" s="24" t="str">
        <x:f>IF(J145&gt;=K145,"Minat","Tidak minat")</x:f>
        <x:v>Minat</x:v>
      </x:c>
      <x:c r="M145" s="24" t="str">
        <x:f>IF(L145=G145,"Sesuai label latih","Berbeda dari label latih")</x:f>
        <x:v>Sesuai label latih</x:v>
      </x:c>
    </x:row>
    <x:row r="146">
      <x:c r="A146" s="24" t="n">
        <x:v>145</x:v>
      </x:c>
      <x:c r="B146" s="24" t="str">
        <x:v>MP3-L-018</x:v>
      </x:c>
      <x:c r="C146" s="24" t="str">
        <x:v>Siswa MP3 L-018</x:v>
      </x:c>
      <x:c r="D146" s="24" t="str">
        <x:v>MP / Manajemen Perkantoran</x:v>
      </x:c>
      <x:c r="E146" s="24" t="str">
        <x:v>MP 3</x:v>
      </x:c>
      <x:c r="F146" s="24" t="str">
        <x:v>Laki-laki</x:v>
      </x:c>
      <x:c r="G146" s="24" t="str">
        <x:v>Minat</x:v>
      </x:c>
      <x:c r="H146" s="26" t="n">
        <x:f>Probabilitas!$C$4*INDEX(Probabilitas!$C$10:$C$11,MATCH(D146,Probabilitas!$A$10:$A$11,0))*INDEX(Probabilitas!$C$16:$C$22,MATCH(E146,Probabilitas!$A$16:$A$22,0))*INDEX(Probabilitas!$C$27:$C$28,MATCH(F146,Probabilitas!$A$27:$A$28,0))</x:f>
        <x:v>0.06758471105328705</x:v>
      </x:c>
      <x:c r="I146" s="26" t="n">
        <x:f>Probabilitas!$C$5*INDEX(Probabilitas!$E$10:$E$11,MATCH(D146,Probabilitas!$A$10:$A$11,0))*INDEX(Probabilitas!$E$16:$E$22,MATCH(E146,Probabilitas!$A$16:$A$22,0))*INDEX(Probabilitas!$E$27:$E$28,MATCH(F146,Probabilitas!$A$27:$A$28,0))</x:f>
        <x:v>0.000004548037824451806</x:v>
      </x:c>
      <x:c r="J146" s="26" t="n">
        <x:f>IFERROR(H146/(H146+I146),0)</x:f>
        <x:v>0.9999327106424067</x:v>
      </x:c>
      <x:c r="K146" s="26" t="n">
        <x:f>IFERROR(I146/(H146+I146),0)</x:f>
        <x:v>0.00006728935759335625</x:v>
      </x:c>
      <x:c r="L146" s="24" t="str">
        <x:f>IF(J146&gt;=K146,"Minat","Tidak minat")</x:f>
        <x:v>Minat</x:v>
      </x:c>
      <x:c r="M146" s="24" t="str">
        <x:f>IF(L146=G146,"Sesuai label latih","Berbeda dari label latih")</x:f>
        <x:v>Sesuai label latih</x:v>
      </x:c>
    </x:row>
    <x:row r="147">
      <x:c r="A147" s="24" t="n">
        <x:v>146</x:v>
      </x:c>
      <x:c r="B147" s="24" t="str">
        <x:v>MP3-L-019</x:v>
      </x:c>
      <x:c r="C147" s="24" t="str">
        <x:v>Siswa MP3 L-019</x:v>
      </x:c>
      <x:c r="D147" s="24" t="str">
        <x:v>MP / Manajemen Perkantoran</x:v>
      </x:c>
      <x:c r="E147" s="24" t="str">
        <x:v>MP 3</x:v>
      </x:c>
      <x:c r="F147" s="24" t="str">
        <x:v>Laki-laki</x:v>
      </x:c>
      <x:c r="G147" s="24" t="str">
        <x:v>Minat</x:v>
      </x:c>
      <x:c r="H147" s="26" t="n">
        <x:f>Probabilitas!$C$4*INDEX(Probabilitas!$C$10:$C$11,MATCH(D147,Probabilitas!$A$10:$A$11,0))*INDEX(Probabilitas!$C$16:$C$22,MATCH(E147,Probabilitas!$A$16:$A$22,0))*INDEX(Probabilitas!$C$27:$C$28,MATCH(F147,Probabilitas!$A$27:$A$28,0))</x:f>
        <x:v>0.06758471105328705</x:v>
      </x:c>
      <x:c r="I147" s="26" t="n">
        <x:f>Probabilitas!$C$5*INDEX(Probabilitas!$E$10:$E$11,MATCH(D147,Probabilitas!$A$10:$A$11,0))*INDEX(Probabilitas!$E$16:$E$22,MATCH(E147,Probabilitas!$A$16:$A$22,0))*INDEX(Probabilitas!$E$27:$E$28,MATCH(F147,Probabilitas!$A$27:$A$28,0))</x:f>
        <x:v>0.000004548037824451806</x:v>
      </x:c>
      <x:c r="J147" s="26" t="n">
        <x:f>IFERROR(H147/(H147+I147),0)</x:f>
        <x:v>0.9999327106424067</x:v>
      </x:c>
      <x:c r="K147" s="26" t="n">
        <x:f>IFERROR(I147/(H147+I147),0)</x:f>
        <x:v>0.00006728935759335625</x:v>
      </x:c>
      <x:c r="L147" s="24" t="str">
        <x:f>IF(J147&gt;=K147,"Minat","Tidak minat")</x:f>
        <x:v>Minat</x:v>
      </x:c>
      <x:c r="M147" s="24" t="str">
        <x:f>IF(L147=G147,"Sesuai label latih","Berbeda dari label latih")</x:f>
        <x:v>Sesuai label latih</x:v>
      </x:c>
    </x:row>
    <x:row r="148">
      <x:c r="A148" s="24" t="n">
        <x:v>147</x:v>
      </x:c>
      <x:c r="B148" s="24" t="str">
        <x:v>MP3-L-020</x:v>
      </x:c>
      <x:c r="C148" s="24" t="str">
        <x:v>Siswa MP3 L-020</x:v>
      </x:c>
      <x:c r="D148" s="24" t="str">
        <x:v>MP / Manajemen Perkantoran</x:v>
      </x:c>
      <x:c r="E148" s="24" t="str">
        <x:v>MP 3</x:v>
      </x:c>
      <x:c r="F148" s="24" t="str">
        <x:v>Laki-laki</x:v>
      </x:c>
      <x:c r="G148" s="24" t="str">
        <x:v>Minat</x:v>
      </x:c>
      <x:c r="H148" s="26" t="n">
        <x:f>Probabilitas!$C$4*INDEX(Probabilitas!$C$10:$C$11,MATCH(D148,Probabilitas!$A$10:$A$11,0))*INDEX(Probabilitas!$C$16:$C$22,MATCH(E148,Probabilitas!$A$16:$A$22,0))*INDEX(Probabilitas!$C$27:$C$28,MATCH(F148,Probabilitas!$A$27:$A$28,0))</x:f>
        <x:v>0.06758471105328705</x:v>
      </x:c>
      <x:c r="I148" s="26" t="n">
        <x:f>Probabilitas!$C$5*INDEX(Probabilitas!$E$10:$E$11,MATCH(D148,Probabilitas!$A$10:$A$11,0))*INDEX(Probabilitas!$E$16:$E$22,MATCH(E148,Probabilitas!$A$16:$A$22,0))*INDEX(Probabilitas!$E$27:$E$28,MATCH(F148,Probabilitas!$A$27:$A$28,0))</x:f>
        <x:v>0.000004548037824451806</x:v>
      </x:c>
      <x:c r="J148" s="26" t="n">
        <x:f>IFERROR(H148/(H148+I148),0)</x:f>
        <x:v>0.9999327106424067</x:v>
      </x:c>
      <x:c r="K148" s="26" t="n">
        <x:f>IFERROR(I148/(H148+I148),0)</x:f>
        <x:v>0.00006728935759335625</x:v>
      </x:c>
      <x:c r="L148" s="24" t="str">
        <x:f>IF(J148&gt;=K148,"Minat","Tidak minat")</x:f>
        <x:v>Minat</x:v>
      </x:c>
      <x:c r="M148" s="24" t="str">
        <x:f>IF(L148=G148,"Sesuai label latih","Berbeda dari label latih")</x:f>
        <x:v>Sesuai label latih</x:v>
      </x:c>
    </x:row>
    <x:row r="149">
      <x:c r="A149" s="24" t="n">
        <x:v>148</x:v>
      </x:c>
      <x:c r="B149" s="24" t="str">
        <x:v>MP3-L-021</x:v>
      </x:c>
      <x:c r="C149" s="24" t="str">
        <x:v>Siswa MP3 L-021</x:v>
      </x:c>
      <x:c r="D149" s="24" t="str">
        <x:v>MP / Manajemen Perkantoran</x:v>
      </x:c>
      <x:c r="E149" s="24" t="str">
        <x:v>MP 3</x:v>
      </x:c>
      <x:c r="F149" s="24" t="str">
        <x:v>Laki-laki</x:v>
      </x:c>
      <x:c r="G149" s="24" t="str">
        <x:v>Minat</x:v>
      </x:c>
      <x:c r="H149" s="26" t="n">
        <x:f>Probabilitas!$C$4*INDEX(Probabilitas!$C$10:$C$11,MATCH(D149,Probabilitas!$A$10:$A$11,0))*INDEX(Probabilitas!$C$16:$C$22,MATCH(E149,Probabilitas!$A$16:$A$22,0))*INDEX(Probabilitas!$C$27:$C$28,MATCH(F149,Probabilitas!$A$27:$A$28,0))</x:f>
        <x:v>0.06758471105328705</x:v>
      </x:c>
      <x:c r="I149" s="26" t="n">
        <x:f>Probabilitas!$C$5*INDEX(Probabilitas!$E$10:$E$11,MATCH(D149,Probabilitas!$A$10:$A$11,0))*INDEX(Probabilitas!$E$16:$E$22,MATCH(E149,Probabilitas!$A$16:$A$22,0))*INDEX(Probabilitas!$E$27:$E$28,MATCH(F149,Probabilitas!$A$27:$A$28,0))</x:f>
        <x:v>0.000004548037824451806</x:v>
      </x:c>
      <x:c r="J149" s="26" t="n">
        <x:f>IFERROR(H149/(H149+I149),0)</x:f>
        <x:v>0.9999327106424067</x:v>
      </x:c>
      <x:c r="K149" s="26" t="n">
        <x:f>IFERROR(I149/(H149+I149),0)</x:f>
        <x:v>0.00006728935759335625</x:v>
      </x:c>
      <x:c r="L149" s="24" t="str">
        <x:f>IF(J149&gt;=K149,"Minat","Tidak minat")</x:f>
        <x:v>Minat</x:v>
      </x:c>
      <x:c r="M149" s="24" t="str">
        <x:f>IF(L149=G149,"Sesuai label latih","Berbeda dari label latih")</x:f>
        <x:v>Sesuai label latih</x:v>
      </x:c>
    </x:row>
    <x:row r="150">
      <x:c r="A150" s="24" t="n">
        <x:v>149</x:v>
      </x:c>
      <x:c r="B150" s="24" t="str">
        <x:v>MP3-L-022</x:v>
      </x:c>
      <x:c r="C150" s="24" t="str">
        <x:v>Siswa MP3 L-022</x:v>
      </x:c>
      <x:c r="D150" s="24" t="str">
        <x:v>MP / Manajemen Perkantoran</x:v>
      </x:c>
      <x:c r="E150" s="24" t="str">
        <x:v>MP 3</x:v>
      </x:c>
      <x:c r="F150" s="24" t="str">
        <x:v>Laki-laki</x:v>
      </x:c>
      <x:c r="G150" s="24" t="str">
        <x:v>Minat</x:v>
      </x:c>
      <x:c r="H150" s="26" t="n">
        <x:f>Probabilitas!$C$4*INDEX(Probabilitas!$C$10:$C$11,MATCH(D150,Probabilitas!$A$10:$A$11,0))*INDEX(Probabilitas!$C$16:$C$22,MATCH(E150,Probabilitas!$A$16:$A$22,0))*INDEX(Probabilitas!$C$27:$C$28,MATCH(F150,Probabilitas!$A$27:$A$28,0))</x:f>
        <x:v>0.06758471105328705</x:v>
      </x:c>
      <x:c r="I150" s="26" t="n">
        <x:f>Probabilitas!$C$5*INDEX(Probabilitas!$E$10:$E$11,MATCH(D150,Probabilitas!$A$10:$A$11,0))*INDEX(Probabilitas!$E$16:$E$22,MATCH(E150,Probabilitas!$A$16:$A$22,0))*INDEX(Probabilitas!$E$27:$E$28,MATCH(F150,Probabilitas!$A$27:$A$28,0))</x:f>
        <x:v>0.000004548037824451806</x:v>
      </x:c>
      <x:c r="J150" s="26" t="n">
        <x:f>IFERROR(H150/(H150+I150),0)</x:f>
        <x:v>0.9999327106424067</x:v>
      </x:c>
      <x:c r="K150" s="26" t="n">
        <x:f>IFERROR(I150/(H150+I150),0)</x:f>
        <x:v>0.00006728935759335625</x:v>
      </x:c>
      <x:c r="L150" s="24" t="str">
        <x:f>IF(J150&gt;=K150,"Minat","Tidak minat")</x:f>
        <x:v>Minat</x:v>
      </x:c>
      <x:c r="M150" s="24" t="str">
        <x:f>IF(L150=G150,"Sesuai label latih","Berbeda dari label latih")</x:f>
        <x:v>Sesuai label latih</x:v>
      </x:c>
    </x:row>
    <x:row r="151">
      <x:c r="A151" s="24" t="n">
        <x:v>150</x:v>
      </x:c>
      <x:c r="B151" s="24" t="str">
        <x:v>MP3-L-023</x:v>
      </x:c>
      <x:c r="C151" s="24" t="str">
        <x:v>Siswa MP3 L-023</x:v>
      </x:c>
      <x:c r="D151" s="24" t="str">
        <x:v>MP / Manajemen Perkantoran</x:v>
      </x:c>
      <x:c r="E151" s="24" t="str">
        <x:v>MP 3</x:v>
      </x:c>
      <x:c r="F151" s="24" t="str">
        <x:v>Laki-laki</x:v>
      </x:c>
      <x:c r="G151" s="24" t="str">
        <x:v>Minat</x:v>
      </x:c>
      <x:c r="H151" s="26" t="n">
        <x:f>Probabilitas!$C$4*INDEX(Probabilitas!$C$10:$C$11,MATCH(D151,Probabilitas!$A$10:$A$11,0))*INDEX(Probabilitas!$C$16:$C$22,MATCH(E151,Probabilitas!$A$16:$A$22,0))*INDEX(Probabilitas!$C$27:$C$28,MATCH(F151,Probabilitas!$A$27:$A$28,0))</x:f>
        <x:v>0.06758471105328705</x:v>
      </x:c>
      <x:c r="I151" s="26" t="n">
        <x:f>Probabilitas!$C$5*INDEX(Probabilitas!$E$10:$E$11,MATCH(D151,Probabilitas!$A$10:$A$11,0))*INDEX(Probabilitas!$E$16:$E$22,MATCH(E151,Probabilitas!$A$16:$A$22,0))*INDEX(Probabilitas!$E$27:$E$28,MATCH(F151,Probabilitas!$A$27:$A$28,0))</x:f>
        <x:v>0.000004548037824451806</x:v>
      </x:c>
      <x:c r="J151" s="26" t="n">
        <x:f>IFERROR(H151/(H151+I151),0)</x:f>
        <x:v>0.9999327106424067</x:v>
      </x:c>
      <x:c r="K151" s="26" t="n">
        <x:f>IFERROR(I151/(H151+I151),0)</x:f>
        <x:v>0.00006728935759335625</x:v>
      </x:c>
      <x:c r="L151" s="24" t="str">
        <x:f>IF(J151&gt;=K151,"Minat","Tidak minat")</x:f>
        <x:v>Minat</x:v>
      </x:c>
      <x:c r="M151" s="24" t="str">
        <x:f>IF(L151=G151,"Sesuai label latih","Berbeda dari label latih")</x:f>
        <x:v>Sesuai label latih</x:v>
      </x:c>
    </x:row>
    <x:row r="152">
      <x:c r="A152" s="24" t="n">
        <x:v>151</x:v>
      </x:c>
      <x:c r="B152" s="24" t="str">
        <x:v>MP3-L-024</x:v>
      </x:c>
      <x:c r="C152" s="24" t="str">
        <x:v>Siswa MP3 L-024</x:v>
      </x:c>
      <x:c r="D152" s="24" t="str">
        <x:v>MP / Manajemen Perkantoran</x:v>
      </x:c>
      <x:c r="E152" s="24" t="str">
        <x:v>MP 3</x:v>
      </x:c>
      <x:c r="F152" s="24" t="str">
        <x:v>Laki-laki</x:v>
      </x:c>
      <x:c r="G152" s="24" t="str">
        <x:v>Minat</x:v>
      </x:c>
      <x:c r="H152" s="26" t="n">
        <x:f>Probabilitas!$C$4*INDEX(Probabilitas!$C$10:$C$11,MATCH(D152,Probabilitas!$A$10:$A$11,0))*INDEX(Probabilitas!$C$16:$C$22,MATCH(E152,Probabilitas!$A$16:$A$22,0))*INDEX(Probabilitas!$C$27:$C$28,MATCH(F152,Probabilitas!$A$27:$A$28,0))</x:f>
        <x:v>0.06758471105328705</x:v>
      </x:c>
      <x:c r="I152" s="26" t="n">
        <x:f>Probabilitas!$C$5*INDEX(Probabilitas!$E$10:$E$11,MATCH(D152,Probabilitas!$A$10:$A$11,0))*INDEX(Probabilitas!$E$16:$E$22,MATCH(E152,Probabilitas!$A$16:$A$22,0))*INDEX(Probabilitas!$E$27:$E$28,MATCH(F152,Probabilitas!$A$27:$A$28,0))</x:f>
        <x:v>0.000004548037824451806</x:v>
      </x:c>
      <x:c r="J152" s="26" t="n">
        <x:f>IFERROR(H152/(H152+I152),0)</x:f>
        <x:v>0.9999327106424067</x:v>
      </x:c>
      <x:c r="K152" s="26" t="n">
        <x:f>IFERROR(I152/(H152+I152),0)</x:f>
        <x:v>0.00006728935759335625</x:v>
      </x:c>
      <x:c r="L152" s="24" t="str">
        <x:f>IF(J152&gt;=K152,"Minat","Tidak minat")</x:f>
        <x:v>Minat</x:v>
      </x:c>
      <x:c r="M152" s="24" t="str">
        <x:f>IF(L152=G152,"Sesuai label latih","Berbeda dari label latih")</x:f>
        <x:v>Sesuai label latih</x:v>
      </x:c>
    </x:row>
    <x:row r="153">
      <x:c r="A153" s="24" t="n">
        <x:v>152</x:v>
      </x:c>
      <x:c r="B153" s="24" t="str">
        <x:v>MP3-L-025</x:v>
      </x:c>
      <x:c r="C153" s="24" t="str">
        <x:v>Siswa MP3 L-025</x:v>
      </x:c>
      <x:c r="D153" s="24" t="str">
        <x:v>MP / Manajemen Perkantoran</x:v>
      </x:c>
      <x:c r="E153" s="24" t="str">
        <x:v>MP 3</x:v>
      </x:c>
      <x:c r="F153" s="24" t="str">
        <x:v>Laki-laki</x:v>
      </x:c>
      <x:c r="G153" s="24" t="str">
        <x:v>Minat</x:v>
      </x:c>
      <x:c r="H153" s="26" t="n">
        <x:f>Probabilitas!$C$4*INDEX(Probabilitas!$C$10:$C$11,MATCH(D153,Probabilitas!$A$10:$A$11,0))*INDEX(Probabilitas!$C$16:$C$22,MATCH(E153,Probabilitas!$A$16:$A$22,0))*INDEX(Probabilitas!$C$27:$C$28,MATCH(F153,Probabilitas!$A$27:$A$28,0))</x:f>
        <x:v>0.06758471105328705</x:v>
      </x:c>
      <x:c r="I153" s="26" t="n">
        <x:f>Probabilitas!$C$5*INDEX(Probabilitas!$E$10:$E$11,MATCH(D153,Probabilitas!$A$10:$A$11,0))*INDEX(Probabilitas!$E$16:$E$22,MATCH(E153,Probabilitas!$A$16:$A$22,0))*INDEX(Probabilitas!$E$27:$E$28,MATCH(F153,Probabilitas!$A$27:$A$28,0))</x:f>
        <x:v>0.000004548037824451806</x:v>
      </x:c>
      <x:c r="J153" s="26" t="n">
        <x:f>IFERROR(H153/(H153+I153),0)</x:f>
        <x:v>0.9999327106424067</x:v>
      </x:c>
      <x:c r="K153" s="26" t="n">
        <x:f>IFERROR(I153/(H153+I153),0)</x:f>
        <x:v>0.00006728935759335625</x:v>
      </x:c>
      <x:c r="L153" s="24" t="str">
        <x:f>IF(J153&gt;=K153,"Minat","Tidak minat")</x:f>
        <x:v>Minat</x:v>
      </x:c>
      <x:c r="M153" s="24" t="str">
        <x:f>IF(L153=G153,"Sesuai label latih","Berbeda dari label latih")</x:f>
        <x:v>Sesuai label latih</x:v>
      </x:c>
    </x:row>
    <x:row r="154">
      <x:c r="A154" s="24" t="n">
        <x:v>153</x:v>
      </x:c>
      <x:c r="B154" s="24" t="str">
        <x:v>MP3-L-026</x:v>
      </x:c>
      <x:c r="C154" s="24" t="str">
        <x:v>Siswa MP3 L-026</x:v>
      </x:c>
      <x:c r="D154" s="24" t="str">
        <x:v>MP / Manajemen Perkantoran</x:v>
      </x:c>
      <x:c r="E154" s="24" t="str">
        <x:v>MP 3</x:v>
      </x:c>
      <x:c r="F154" s="24" t="str">
        <x:v>Laki-laki</x:v>
      </x:c>
      <x:c r="G154" s="24" t="str">
        <x:v>Minat</x:v>
      </x:c>
      <x:c r="H154" s="26" t="n">
        <x:f>Probabilitas!$C$4*INDEX(Probabilitas!$C$10:$C$11,MATCH(D154,Probabilitas!$A$10:$A$11,0))*INDEX(Probabilitas!$C$16:$C$22,MATCH(E154,Probabilitas!$A$16:$A$22,0))*INDEX(Probabilitas!$C$27:$C$28,MATCH(F154,Probabilitas!$A$27:$A$28,0))</x:f>
        <x:v>0.06758471105328705</x:v>
      </x:c>
      <x:c r="I154" s="26" t="n">
        <x:f>Probabilitas!$C$5*INDEX(Probabilitas!$E$10:$E$11,MATCH(D154,Probabilitas!$A$10:$A$11,0))*INDEX(Probabilitas!$E$16:$E$22,MATCH(E154,Probabilitas!$A$16:$A$22,0))*INDEX(Probabilitas!$E$27:$E$28,MATCH(F154,Probabilitas!$A$27:$A$28,0))</x:f>
        <x:v>0.000004548037824451806</x:v>
      </x:c>
      <x:c r="J154" s="26" t="n">
        <x:f>IFERROR(H154/(H154+I154),0)</x:f>
        <x:v>0.9999327106424067</x:v>
      </x:c>
      <x:c r="K154" s="26" t="n">
        <x:f>IFERROR(I154/(H154+I154),0)</x:f>
        <x:v>0.00006728935759335625</x:v>
      </x:c>
      <x:c r="L154" s="24" t="str">
        <x:f>IF(J154&gt;=K154,"Minat","Tidak minat")</x:f>
        <x:v>Minat</x:v>
      </x:c>
      <x:c r="M154" s="24" t="str">
        <x:f>IF(L154=G154,"Sesuai label latih","Berbeda dari label latih")</x:f>
        <x:v>Sesuai label latih</x:v>
      </x:c>
    </x:row>
    <x:row r="155">
      <x:c r="A155" s="24" t="n">
        <x:v>154</x:v>
      </x:c>
      <x:c r="B155" s="24" t="str">
        <x:v>MP3-L-027</x:v>
      </x:c>
      <x:c r="C155" s="24" t="str">
        <x:v>Siswa MP3 L-027</x:v>
      </x:c>
      <x:c r="D155" s="24" t="str">
        <x:v>MP / Manajemen Perkantoran</x:v>
      </x:c>
      <x:c r="E155" s="24" t="str">
        <x:v>MP 3</x:v>
      </x:c>
      <x:c r="F155" s="24" t="str">
        <x:v>Laki-laki</x:v>
      </x:c>
      <x:c r="G155" s="24" t="str">
        <x:v>Minat</x:v>
      </x:c>
      <x:c r="H155" s="26" t="n">
        <x:f>Probabilitas!$C$4*INDEX(Probabilitas!$C$10:$C$11,MATCH(D155,Probabilitas!$A$10:$A$11,0))*INDEX(Probabilitas!$C$16:$C$22,MATCH(E155,Probabilitas!$A$16:$A$22,0))*INDEX(Probabilitas!$C$27:$C$28,MATCH(F155,Probabilitas!$A$27:$A$28,0))</x:f>
        <x:v>0.06758471105328705</x:v>
      </x:c>
      <x:c r="I155" s="26" t="n">
        <x:f>Probabilitas!$C$5*INDEX(Probabilitas!$E$10:$E$11,MATCH(D155,Probabilitas!$A$10:$A$11,0))*INDEX(Probabilitas!$E$16:$E$22,MATCH(E155,Probabilitas!$A$16:$A$22,0))*INDEX(Probabilitas!$E$27:$E$28,MATCH(F155,Probabilitas!$A$27:$A$28,0))</x:f>
        <x:v>0.000004548037824451806</x:v>
      </x:c>
      <x:c r="J155" s="26" t="n">
        <x:f>IFERROR(H155/(H155+I155),0)</x:f>
        <x:v>0.9999327106424067</x:v>
      </x:c>
      <x:c r="K155" s="26" t="n">
        <x:f>IFERROR(I155/(H155+I155),0)</x:f>
        <x:v>0.00006728935759335625</x:v>
      </x:c>
      <x:c r="L155" s="24" t="str">
        <x:f>IF(J155&gt;=K155,"Minat","Tidak minat")</x:f>
        <x:v>Minat</x:v>
      </x:c>
      <x:c r="M155" s="24" t="str">
        <x:f>IF(L155=G155,"Sesuai label latih","Berbeda dari label latih")</x:f>
        <x:v>Sesuai label latih</x:v>
      </x:c>
    </x:row>
    <x:row r="156">
      <x:c r="A156" s="24" t="n">
        <x:v>155</x:v>
      </x:c>
      <x:c r="B156" s="24" t="str">
        <x:v>MP3-L-028</x:v>
      </x:c>
      <x:c r="C156" s="24" t="str">
        <x:v>Siswa MP3 L-028</x:v>
      </x:c>
      <x:c r="D156" s="24" t="str">
        <x:v>MP / Manajemen Perkantoran</x:v>
      </x:c>
      <x:c r="E156" s="24" t="str">
        <x:v>MP 3</x:v>
      </x:c>
      <x:c r="F156" s="24" t="str">
        <x:v>Laki-laki</x:v>
      </x:c>
      <x:c r="G156" s="24" t="str">
        <x:v>Minat</x:v>
      </x:c>
      <x:c r="H156" s="26" t="n">
        <x:f>Probabilitas!$C$4*INDEX(Probabilitas!$C$10:$C$11,MATCH(D156,Probabilitas!$A$10:$A$11,0))*INDEX(Probabilitas!$C$16:$C$22,MATCH(E156,Probabilitas!$A$16:$A$22,0))*INDEX(Probabilitas!$C$27:$C$28,MATCH(F156,Probabilitas!$A$27:$A$28,0))</x:f>
        <x:v>0.06758471105328705</x:v>
      </x:c>
      <x:c r="I156" s="26" t="n">
        <x:f>Probabilitas!$C$5*INDEX(Probabilitas!$E$10:$E$11,MATCH(D156,Probabilitas!$A$10:$A$11,0))*INDEX(Probabilitas!$E$16:$E$22,MATCH(E156,Probabilitas!$A$16:$A$22,0))*INDEX(Probabilitas!$E$27:$E$28,MATCH(F156,Probabilitas!$A$27:$A$28,0))</x:f>
        <x:v>0.000004548037824451806</x:v>
      </x:c>
      <x:c r="J156" s="26" t="n">
        <x:f>IFERROR(H156/(H156+I156),0)</x:f>
        <x:v>0.9999327106424067</x:v>
      </x:c>
      <x:c r="K156" s="26" t="n">
        <x:f>IFERROR(I156/(H156+I156),0)</x:f>
        <x:v>0.00006728935759335625</x:v>
      </x:c>
      <x:c r="L156" s="24" t="str">
        <x:f>IF(J156&gt;=K156,"Minat","Tidak minat")</x:f>
        <x:v>Minat</x:v>
      </x:c>
      <x:c r="M156" s="24" t="str">
        <x:f>IF(L156=G156,"Sesuai label latih","Berbeda dari label latih")</x:f>
        <x:v>Sesuai label latih</x:v>
      </x:c>
    </x:row>
    <x:row r="157">
      <x:c r="A157" s="24" t="n">
        <x:v>156</x:v>
      </x:c>
      <x:c r="B157" s="24" t="str">
        <x:v>MP3-L-029</x:v>
      </x:c>
      <x:c r="C157" s="24" t="str">
        <x:v>Siswa MP3 L-029</x:v>
      </x:c>
      <x:c r="D157" s="24" t="str">
        <x:v>MP / Manajemen Perkantoran</x:v>
      </x:c>
      <x:c r="E157" s="24" t="str">
        <x:v>MP 3</x:v>
      </x:c>
      <x:c r="F157" s="24" t="str">
        <x:v>Laki-laki</x:v>
      </x:c>
      <x:c r="G157" s="24" t="str">
        <x:v>Minat</x:v>
      </x:c>
      <x:c r="H157" s="26" t="n">
        <x:f>Probabilitas!$C$4*INDEX(Probabilitas!$C$10:$C$11,MATCH(D157,Probabilitas!$A$10:$A$11,0))*INDEX(Probabilitas!$C$16:$C$22,MATCH(E157,Probabilitas!$A$16:$A$22,0))*INDEX(Probabilitas!$C$27:$C$28,MATCH(F157,Probabilitas!$A$27:$A$28,0))</x:f>
        <x:v>0.06758471105328705</x:v>
      </x:c>
      <x:c r="I157" s="26" t="n">
        <x:f>Probabilitas!$C$5*INDEX(Probabilitas!$E$10:$E$11,MATCH(D157,Probabilitas!$A$10:$A$11,0))*INDEX(Probabilitas!$E$16:$E$22,MATCH(E157,Probabilitas!$A$16:$A$22,0))*INDEX(Probabilitas!$E$27:$E$28,MATCH(F157,Probabilitas!$A$27:$A$28,0))</x:f>
        <x:v>0.000004548037824451806</x:v>
      </x:c>
      <x:c r="J157" s="26" t="n">
        <x:f>IFERROR(H157/(H157+I157),0)</x:f>
        <x:v>0.9999327106424067</x:v>
      </x:c>
      <x:c r="K157" s="26" t="n">
        <x:f>IFERROR(I157/(H157+I157),0)</x:f>
        <x:v>0.00006728935759335625</x:v>
      </x:c>
      <x:c r="L157" s="24" t="str">
        <x:f>IF(J157&gt;=K157,"Minat","Tidak minat")</x:f>
        <x:v>Minat</x:v>
      </x:c>
      <x:c r="M157" s="24" t="str">
        <x:f>IF(L157=G157,"Sesuai label latih","Berbeda dari label latih")</x:f>
        <x:v>Sesuai label latih</x:v>
      </x:c>
    </x:row>
    <x:row r="158">
      <x:c r="A158" s="24" t="n">
        <x:v>157</x:v>
      </x:c>
      <x:c r="B158" s="24" t="str">
        <x:v>MP3-L-030</x:v>
      </x:c>
      <x:c r="C158" s="24" t="str">
        <x:v>Siswa MP3 L-030</x:v>
      </x:c>
      <x:c r="D158" s="24" t="str">
        <x:v>MP / Manajemen Perkantoran</x:v>
      </x:c>
      <x:c r="E158" s="24" t="str">
        <x:v>MP 3</x:v>
      </x:c>
      <x:c r="F158" s="24" t="str">
        <x:v>Laki-laki</x:v>
      </x:c>
      <x:c r="G158" s="24" t="str">
        <x:v>Minat</x:v>
      </x:c>
      <x:c r="H158" s="26" t="n">
        <x:f>Probabilitas!$C$4*INDEX(Probabilitas!$C$10:$C$11,MATCH(D158,Probabilitas!$A$10:$A$11,0))*INDEX(Probabilitas!$C$16:$C$22,MATCH(E158,Probabilitas!$A$16:$A$22,0))*INDEX(Probabilitas!$C$27:$C$28,MATCH(F158,Probabilitas!$A$27:$A$28,0))</x:f>
        <x:v>0.06758471105328705</x:v>
      </x:c>
      <x:c r="I158" s="26" t="n">
        <x:f>Probabilitas!$C$5*INDEX(Probabilitas!$E$10:$E$11,MATCH(D158,Probabilitas!$A$10:$A$11,0))*INDEX(Probabilitas!$E$16:$E$22,MATCH(E158,Probabilitas!$A$16:$A$22,0))*INDEX(Probabilitas!$E$27:$E$28,MATCH(F158,Probabilitas!$A$27:$A$28,0))</x:f>
        <x:v>0.000004548037824451806</x:v>
      </x:c>
      <x:c r="J158" s="26" t="n">
        <x:f>IFERROR(H158/(H158+I158),0)</x:f>
        <x:v>0.9999327106424067</x:v>
      </x:c>
      <x:c r="K158" s="26" t="n">
        <x:f>IFERROR(I158/(H158+I158),0)</x:f>
        <x:v>0.00006728935759335625</x:v>
      </x:c>
      <x:c r="L158" s="24" t="str">
        <x:f>IF(J158&gt;=K158,"Minat","Tidak minat")</x:f>
        <x:v>Minat</x:v>
      </x:c>
      <x:c r="M158" s="24" t="str">
        <x:f>IF(L158=G158,"Sesuai label latih","Berbeda dari label latih")</x:f>
        <x:v>Sesuai label latih</x:v>
      </x:c>
    </x:row>
    <x:row r="159">
      <x:c r="A159" s="24" t="n">
        <x:v>158</x:v>
      </x:c>
      <x:c r="B159" s="24" t="str">
        <x:v>MP3-L-031</x:v>
      </x:c>
      <x:c r="C159" s="24" t="str">
        <x:v>Siswa MP3 L-031</x:v>
      </x:c>
      <x:c r="D159" s="24" t="str">
        <x:v>MP / Manajemen Perkantoran</x:v>
      </x:c>
      <x:c r="E159" s="24" t="str">
        <x:v>MP 3</x:v>
      </x:c>
      <x:c r="F159" s="24" t="str">
        <x:v>Laki-laki</x:v>
      </x:c>
      <x:c r="G159" s="24" t="str">
        <x:v>Minat</x:v>
      </x:c>
      <x:c r="H159" s="26" t="n">
        <x:f>Probabilitas!$C$4*INDEX(Probabilitas!$C$10:$C$11,MATCH(D159,Probabilitas!$A$10:$A$11,0))*INDEX(Probabilitas!$C$16:$C$22,MATCH(E159,Probabilitas!$A$16:$A$22,0))*INDEX(Probabilitas!$C$27:$C$28,MATCH(F159,Probabilitas!$A$27:$A$28,0))</x:f>
        <x:v>0.06758471105328705</x:v>
      </x:c>
      <x:c r="I159" s="26" t="n">
        <x:f>Probabilitas!$C$5*INDEX(Probabilitas!$E$10:$E$11,MATCH(D159,Probabilitas!$A$10:$A$11,0))*INDEX(Probabilitas!$E$16:$E$22,MATCH(E159,Probabilitas!$A$16:$A$22,0))*INDEX(Probabilitas!$E$27:$E$28,MATCH(F159,Probabilitas!$A$27:$A$28,0))</x:f>
        <x:v>0.000004548037824451806</x:v>
      </x:c>
      <x:c r="J159" s="26" t="n">
        <x:f>IFERROR(H159/(H159+I159),0)</x:f>
        <x:v>0.9999327106424067</x:v>
      </x:c>
      <x:c r="K159" s="26" t="n">
        <x:f>IFERROR(I159/(H159+I159),0)</x:f>
        <x:v>0.00006728935759335625</x:v>
      </x:c>
      <x:c r="L159" s="24" t="str">
        <x:f>IF(J159&gt;=K159,"Minat","Tidak minat")</x:f>
        <x:v>Minat</x:v>
      </x:c>
      <x:c r="M159" s="24" t="str">
        <x:f>IF(L159=G159,"Sesuai label latih","Berbeda dari label latih")</x:f>
        <x:v>Sesuai label latih</x:v>
      </x:c>
    </x:row>
    <x:row r="160">
      <x:c r="A160" s="24" t="n">
        <x:v>159</x:v>
      </x:c>
      <x:c r="B160" s="24" t="str">
        <x:v>MP3-L-032</x:v>
      </x:c>
      <x:c r="C160" s="24" t="str">
        <x:v>Siswa MP3 L-032</x:v>
      </x:c>
      <x:c r="D160" s="24" t="str">
        <x:v>MP / Manajemen Perkantoran</x:v>
      </x:c>
      <x:c r="E160" s="24" t="str">
        <x:v>MP 3</x:v>
      </x:c>
      <x:c r="F160" s="24" t="str">
        <x:v>Laki-laki</x:v>
      </x:c>
      <x:c r="G160" s="24" t="str">
        <x:v>Minat</x:v>
      </x:c>
      <x:c r="H160" s="26" t="n">
        <x:f>Probabilitas!$C$4*INDEX(Probabilitas!$C$10:$C$11,MATCH(D160,Probabilitas!$A$10:$A$11,0))*INDEX(Probabilitas!$C$16:$C$22,MATCH(E160,Probabilitas!$A$16:$A$22,0))*INDEX(Probabilitas!$C$27:$C$28,MATCH(F160,Probabilitas!$A$27:$A$28,0))</x:f>
        <x:v>0.06758471105328705</x:v>
      </x:c>
      <x:c r="I160" s="26" t="n">
        <x:f>Probabilitas!$C$5*INDEX(Probabilitas!$E$10:$E$11,MATCH(D160,Probabilitas!$A$10:$A$11,0))*INDEX(Probabilitas!$E$16:$E$22,MATCH(E160,Probabilitas!$A$16:$A$22,0))*INDEX(Probabilitas!$E$27:$E$28,MATCH(F160,Probabilitas!$A$27:$A$28,0))</x:f>
        <x:v>0.000004548037824451806</x:v>
      </x:c>
      <x:c r="J160" s="26" t="n">
        <x:f>IFERROR(H160/(H160+I160),0)</x:f>
        <x:v>0.9999327106424067</x:v>
      </x:c>
      <x:c r="K160" s="26" t="n">
        <x:f>IFERROR(I160/(H160+I160),0)</x:f>
        <x:v>0.00006728935759335625</x:v>
      </x:c>
      <x:c r="L160" s="24" t="str">
        <x:f>IF(J160&gt;=K160,"Minat","Tidak minat")</x:f>
        <x:v>Minat</x:v>
      </x:c>
      <x:c r="M160" s="24" t="str">
        <x:f>IF(L160=G160,"Sesuai label latih","Berbeda dari label latih")</x:f>
        <x:v>Sesuai label latih</x:v>
      </x:c>
    </x:row>
    <x:row r="161">
      <x:c r="A161" s="24" t="n">
        <x:v>160</x:v>
      </x:c>
      <x:c r="B161" s="24" t="str">
        <x:v>MP3-L-033</x:v>
      </x:c>
      <x:c r="C161" s="24" t="str">
        <x:v>Siswa MP3 L-033</x:v>
      </x:c>
      <x:c r="D161" s="24" t="str">
        <x:v>MP / Manajemen Perkantoran</x:v>
      </x:c>
      <x:c r="E161" s="24" t="str">
        <x:v>MP 3</x:v>
      </x:c>
      <x:c r="F161" s="24" t="str">
        <x:v>Laki-laki</x:v>
      </x:c>
      <x:c r="G161" s="24" t="str">
        <x:v>Minat</x:v>
      </x:c>
      <x:c r="H161" s="26" t="n">
        <x:f>Probabilitas!$C$4*INDEX(Probabilitas!$C$10:$C$11,MATCH(D161,Probabilitas!$A$10:$A$11,0))*INDEX(Probabilitas!$C$16:$C$22,MATCH(E161,Probabilitas!$A$16:$A$22,0))*INDEX(Probabilitas!$C$27:$C$28,MATCH(F161,Probabilitas!$A$27:$A$28,0))</x:f>
        <x:v>0.06758471105328705</x:v>
      </x:c>
      <x:c r="I161" s="26" t="n">
        <x:f>Probabilitas!$C$5*INDEX(Probabilitas!$E$10:$E$11,MATCH(D161,Probabilitas!$A$10:$A$11,0))*INDEX(Probabilitas!$E$16:$E$22,MATCH(E161,Probabilitas!$A$16:$A$22,0))*INDEX(Probabilitas!$E$27:$E$28,MATCH(F161,Probabilitas!$A$27:$A$28,0))</x:f>
        <x:v>0.000004548037824451806</x:v>
      </x:c>
      <x:c r="J161" s="26" t="n">
        <x:f>IFERROR(H161/(H161+I161),0)</x:f>
        <x:v>0.9999327106424067</x:v>
      </x:c>
      <x:c r="K161" s="26" t="n">
        <x:f>IFERROR(I161/(H161+I161),0)</x:f>
        <x:v>0.00006728935759335625</x:v>
      </x:c>
      <x:c r="L161" s="24" t="str">
        <x:f>IF(J161&gt;=K161,"Minat","Tidak minat")</x:f>
        <x:v>Minat</x:v>
      </x:c>
      <x:c r="M161" s="24" t="str">
        <x:f>IF(L161=G161,"Sesuai label latih","Berbeda dari label latih")</x:f>
        <x:v>Sesuai label latih</x:v>
      </x:c>
    </x:row>
    <x:row r="162">
      <x:c r="A162" s="24" t="n">
        <x:v>161</x:v>
      </x:c>
      <x:c r="B162" s="24" t="str">
        <x:v>MP3-L-034</x:v>
      </x:c>
      <x:c r="C162" s="24" t="str">
        <x:v>Siswa MP3 L-034</x:v>
      </x:c>
      <x:c r="D162" s="24" t="str">
        <x:v>MP / Manajemen Perkantoran</x:v>
      </x:c>
      <x:c r="E162" s="24" t="str">
        <x:v>MP 3</x:v>
      </x:c>
      <x:c r="F162" s="24" t="str">
        <x:v>Laki-laki</x:v>
      </x:c>
      <x:c r="G162" s="24" t="str">
        <x:v>Minat</x:v>
      </x:c>
      <x:c r="H162" s="26" t="n">
        <x:f>Probabilitas!$C$4*INDEX(Probabilitas!$C$10:$C$11,MATCH(D162,Probabilitas!$A$10:$A$11,0))*INDEX(Probabilitas!$C$16:$C$22,MATCH(E162,Probabilitas!$A$16:$A$22,0))*INDEX(Probabilitas!$C$27:$C$28,MATCH(F162,Probabilitas!$A$27:$A$28,0))</x:f>
        <x:v>0.06758471105328705</x:v>
      </x:c>
      <x:c r="I162" s="26" t="n">
        <x:f>Probabilitas!$C$5*INDEX(Probabilitas!$E$10:$E$11,MATCH(D162,Probabilitas!$A$10:$A$11,0))*INDEX(Probabilitas!$E$16:$E$22,MATCH(E162,Probabilitas!$A$16:$A$22,0))*INDEX(Probabilitas!$E$27:$E$28,MATCH(F162,Probabilitas!$A$27:$A$28,0))</x:f>
        <x:v>0.000004548037824451806</x:v>
      </x:c>
      <x:c r="J162" s="26" t="n">
        <x:f>IFERROR(H162/(H162+I162),0)</x:f>
        <x:v>0.9999327106424067</x:v>
      </x:c>
      <x:c r="K162" s="26" t="n">
        <x:f>IFERROR(I162/(H162+I162),0)</x:f>
        <x:v>0.00006728935759335625</x:v>
      </x:c>
      <x:c r="L162" s="24" t="str">
        <x:f>IF(J162&gt;=K162,"Minat","Tidak minat")</x:f>
        <x:v>Minat</x:v>
      </x:c>
      <x:c r="M162" s="24" t="str">
        <x:f>IF(L162=G162,"Sesuai label latih","Berbeda dari label latih")</x:f>
        <x:v>Sesuai label latih</x:v>
      </x:c>
    </x:row>
    <x:row r="163">
      <x:c r="A163" s="24" t="n">
        <x:v>162</x:v>
      </x:c>
      <x:c r="B163" s="24" t="str">
        <x:v>MP3-L-035</x:v>
      </x:c>
      <x:c r="C163" s="24" t="str">
        <x:v>Siswa MP3 L-035</x:v>
      </x:c>
      <x:c r="D163" s="24" t="str">
        <x:v>MP / Manajemen Perkantoran</x:v>
      </x:c>
      <x:c r="E163" s="24" t="str">
        <x:v>MP 3</x:v>
      </x:c>
      <x:c r="F163" s="24" t="str">
        <x:v>Laki-laki</x:v>
      </x:c>
      <x:c r="G163" s="24" t="str">
        <x:v>Minat</x:v>
      </x:c>
      <x:c r="H163" s="26" t="n">
        <x:f>Probabilitas!$C$4*INDEX(Probabilitas!$C$10:$C$11,MATCH(D163,Probabilitas!$A$10:$A$11,0))*INDEX(Probabilitas!$C$16:$C$22,MATCH(E163,Probabilitas!$A$16:$A$22,0))*INDEX(Probabilitas!$C$27:$C$28,MATCH(F163,Probabilitas!$A$27:$A$28,0))</x:f>
        <x:v>0.06758471105328705</x:v>
      </x:c>
      <x:c r="I163" s="26" t="n">
        <x:f>Probabilitas!$C$5*INDEX(Probabilitas!$E$10:$E$11,MATCH(D163,Probabilitas!$A$10:$A$11,0))*INDEX(Probabilitas!$E$16:$E$22,MATCH(E163,Probabilitas!$A$16:$A$22,0))*INDEX(Probabilitas!$E$27:$E$28,MATCH(F163,Probabilitas!$A$27:$A$28,0))</x:f>
        <x:v>0.000004548037824451806</x:v>
      </x:c>
      <x:c r="J163" s="26" t="n">
        <x:f>IFERROR(H163/(H163+I163),0)</x:f>
        <x:v>0.9999327106424067</x:v>
      </x:c>
      <x:c r="K163" s="26" t="n">
        <x:f>IFERROR(I163/(H163+I163),0)</x:f>
        <x:v>0.00006728935759335625</x:v>
      </x:c>
      <x:c r="L163" s="24" t="str">
        <x:f>IF(J163&gt;=K163,"Minat","Tidak minat")</x:f>
        <x:v>Minat</x:v>
      </x:c>
      <x:c r="M163" s="24" t="str">
        <x:f>IF(L163=G163,"Sesuai label latih","Berbeda dari label latih")</x:f>
        <x:v>Sesuai label latih</x:v>
      </x:c>
    </x:row>
    <x:row r="164">
      <x:c r="A164" s="24" t="n">
        <x:v>163</x:v>
      </x:c>
      <x:c r="B164" s="24" t="str">
        <x:v>MP3-L-036</x:v>
      </x:c>
      <x:c r="C164" s="24" t="str">
        <x:v>Siswa MP3 L-036</x:v>
      </x:c>
      <x:c r="D164" s="24" t="str">
        <x:v>MP / Manajemen Perkantoran</x:v>
      </x:c>
      <x:c r="E164" s="24" t="str">
        <x:v>MP 3</x:v>
      </x:c>
      <x:c r="F164" s="24" t="str">
        <x:v>Laki-laki</x:v>
      </x:c>
      <x:c r="G164" s="24" t="str">
        <x:v>Minat</x:v>
      </x:c>
      <x:c r="H164" s="26" t="n">
        <x:f>Probabilitas!$C$4*INDEX(Probabilitas!$C$10:$C$11,MATCH(D164,Probabilitas!$A$10:$A$11,0))*INDEX(Probabilitas!$C$16:$C$22,MATCH(E164,Probabilitas!$A$16:$A$22,0))*INDEX(Probabilitas!$C$27:$C$28,MATCH(F164,Probabilitas!$A$27:$A$28,0))</x:f>
        <x:v>0.06758471105328705</x:v>
      </x:c>
      <x:c r="I164" s="26" t="n">
        <x:f>Probabilitas!$C$5*INDEX(Probabilitas!$E$10:$E$11,MATCH(D164,Probabilitas!$A$10:$A$11,0))*INDEX(Probabilitas!$E$16:$E$22,MATCH(E164,Probabilitas!$A$16:$A$22,0))*INDEX(Probabilitas!$E$27:$E$28,MATCH(F164,Probabilitas!$A$27:$A$28,0))</x:f>
        <x:v>0.000004548037824451806</x:v>
      </x:c>
      <x:c r="J164" s="26" t="n">
        <x:f>IFERROR(H164/(H164+I164),0)</x:f>
        <x:v>0.9999327106424067</x:v>
      </x:c>
      <x:c r="K164" s="26" t="n">
        <x:f>IFERROR(I164/(H164+I164),0)</x:f>
        <x:v>0.00006728935759335625</x:v>
      </x:c>
      <x:c r="L164" s="24" t="str">
        <x:f>IF(J164&gt;=K164,"Minat","Tidak minat")</x:f>
        <x:v>Minat</x:v>
      </x:c>
      <x:c r="M164" s="24" t="str">
        <x:f>IF(L164=G164,"Sesuai label latih","Berbeda dari label latih")</x:f>
        <x:v>Sesuai label latih</x:v>
      </x:c>
    </x:row>
    <x:row r="165">
      <x:c r="A165" s="24" t="n">
        <x:v>164</x:v>
      </x:c>
      <x:c r="B165" s="24" t="str">
        <x:v>MP3-L-037</x:v>
      </x:c>
      <x:c r="C165" s="24" t="str">
        <x:v>Siswa MP3 L-037</x:v>
      </x:c>
      <x:c r="D165" s="24" t="str">
        <x:v>MP / Manajemen Perkantoran</x:v>
      </x:c>
      <x:c r="E165" s="24" t="str">
        <x:v>MP 3</x:v>
      </x:c>
      <x:c r="F165" s="24" t="str">
        <x:v>Laki-laki</x:v>
      </x:c>
      <x:c r="G165" s="24" t="str">
        <x:v>Minat</x:v>
      </x:c>
      <x:c r="H165" s="26" t="n">
        <x:f>Probabilitas!$C$4*INDEX(Probabilitas!$C$10:$C$11,MATCH(D165,Probabilitas!$A$10:$A$11,0))*INDEX(Probabilitas!$C$16:$C$22,MATCH(E165,Probabilitas!$A$16:$A$22,0))*INDEX(Probabilitas!$C$27:$C$28,MATCH(F165,Probabilitas!$A$27:$A$28,0))</x:f>
        <x:v>0.06758471105328705</x:v>
      </x:c>
      <x:c r="I165" s="26" t="n">
        <x:f>Probabilitas!$C$5*INDEX(Probabilitas!$E$10:$E$11,MATCH(D165,Probabilitas!$A$10:$A$11,0))*INDEX(Probabilitas!$E$16:$E$22,MATCH(E165,Probabilitas!$A$16:$A$22,0))*INDEX(Probabilitas!$E$27:$E$28,MATCH(F165,Probabilitas!$A$27:$A$28,0))</x:f>
        <x:v>0.000004548037824451806</x:v>
      </x:c>
      <x:c r="J165" s="26" t="n">
        <x:f>IFERROR(H165/(H165+I165),0)</x:f>
        <x:v>0.9999327106424067</x:v>
      </x:c>
      <x:c r="K165" s="26" t="n">
        <x:f>IFERROR(I165/(H165+I165),0)</x:f>
        <x:v>0.00006728935759335625</x:v>
      </x:c>
      <x:c r="L165" s="24" t="str">
        <x:f>IF(J165&gt;=K165,"Minat","Tidak minat")</x:f>
        <x:v>Minat</x:v>
      </x:c>
      <x:c r="M165" s="24" t="str">
        <x:f>IF(L165=G165,"Sesuai label latih","Berbeda dari label latih")</x:f>
        <x:v>Sesuai label latih</x:v>
      </x:c>
    </x:row>
    <x:row r="166">
      <x:c r="A166" s="24" t="n">
        <x:v>165</x:v>
      </x:c>
      <x:c r="B166" s="24" t="str">
        <x:v>MP3-L-038</x:v>
      </x:c>
      <x:c r="C166" s="24" t="str">
        <x:v>Siswa MP3 L-038</x:v>
      </x:c>
      <x:c r="D166" s="24" t="str">
        <x:v>MP / Manajemen Perkantoran</x:v>
      </x:c>
      <x:c r="E166" s="24" t="str">
        <x:v>MP 3</x:v>
      </x:c>
      <x:c r="F166" s="24" t="str">
        <x:v>Laki-laki</x:v>
      </x:c>
      <x:c r="G166" s="24" t="str">
        <x:v>Minat</x:v>
      </x:c>
      <x:c r="H166" s="26" t="n">
        <x:f>Probabilitas!$C$4*INDEX(Probabilitas!$C$10:$C$11,MATCH(D166,Probabilitas!$A$10:$A$11,0))*INDEX(Probabilitas!$C$16:$C$22,MATCH(E166,Probabilitas!$A$16:$A$22,0))*INDEX(Probabilitas!$C$27:$C$28,MATCH(F166,Probabilitas!$A$27:$A$28,0))</x:f>
        <x:v>0.06758471105328705</x:v>
      </x:c>
      <x:c r="I166" s="26" t="n">
        <x:f>Probabilitas!$C$5*INDEX(Probabilitas!$E$10:$E$11,MATCH(D166,Probabilitas!$A$10:$A$11,0))*INDEX(Probabilitas!$E$16:$E$22,MATCH(E166,Probabilitas!$A$16:$A$22,0))*INDEX(Probabilitas!$E$27:$E$28,MATCH(F166,Probabilitas!$A$27:$A$28,0))</x:f>
        <x:v>0.000004548037824451806</x:v>
      </x:c>
      <x:c r="J166" s="26" t="n">
        <x:f>IFERROR(H166/(H166+I166),0)</x:f>
        <x:v>0.9999327106424067</x:v>
      </x:c>
      <x:c r="K166" s="26" t="n">
        <x:f>IFERROR(I166/(H166+I166),0)</x:f>
        <x:v>0.00006728935759335625</x:v>
      </x:c>
      <x:c r="L166" s="24" t="str">
        <x:f>IF(J166&gt;=K166,"Minat","Tidak minat")</x:f>
        <x:v>Minat</x:v>
      </x:c>
      <x:c r="M166" s="24" t="str">
        <x:f>IF(L166=G166,"Sesuai label latih","Berbeda dari label latih")</x:f>
        <x:v>Sesuai label latih</x:v>
      </x:c>
    </x:row>
    <x:row r="167">
      <x:c r="A167" s="24" t="n">
        <x:v>166</x:v>
      </x:c>
      <x:c r="B167" s="24" t="str">
        <x:v>MP3-P-001</x:v>
      </x:c>
      <x:c r="C167" s="24" t="str">
        <x:v>Siswa MP3 P-001</x:v>
      </x:c>
      <x:c r="D167" s="24" t="str">
        <x:v>MP / Manajemen Perkantoran</x:v>
      </x:c>
      <x:c r="E167" s="24" t="str">
        <x:v>MP 3</x:v>
      </x:c>
      <x:c r="F167" s="24" t="str">
        <x:v>Perempuan</x:v>
      </x:c>
      <x:c r="G167" s="24" t="str">
        <x:v>Minat</x:v>
      </x:c>
      <x:c r="H167" s="26" t="n">
        <x:f>Probabilitas!$C$4*INDEX(Probabilitas!$C$10:$C$11,MATCH(D167,Probabilitas!$A$10:$A$11,0))*INDEX(Probabilitas!$C$16:$C$22,MATCH(E167,Probabilitas!$A$16:$A$22,0))*INDEX(Probabilitas!$C$27:$C$28,MATCH(F167,Probabilitas!$A$27:$A$28,0))</x:f>
        <x:v>0.06563515208059607</x:v>
      </x:c>
      <x:c r="I167" s="26" t="n">
        <x:f>Probabilitas!$C$5*INDEX(Probabilitas!$E$10:$E$11,MATCH(D167,Probabilitas!$A$10:$A$11,0))*INDEX(Probabilitas!$E$16:$E$22,MATCH(E167,Probabilitas!$A$16:$A$22,0))*INDEX(Probabilitas!$E$27:$E$28,MATCH(F167,Probabilitas!$A$27:$A$28,0))</x:f>
        <x:v>4.198188761032436e-7</x:v>
      </x:c>
      <x:c r="J167" s="26" t="n">
        <x:f>IFERROR(H167/(H167+I167),0)</x:f>
        <x:v>0.9999936037903844</x:v>
      </x:c>
      <x:c r="K167" s="26" t="n">
        <x:f>IFERROR(I167/(H167+I167),0)</x:f>
        <x:v>0.000006396209615515206</x:v>
      </x:c>
      <x:c r="L167" s="24" t="str">
        <x:f>IF(J167&gt;=K167,"Minat","Tidak minat")</x:f>
        <x:v>Minat</x:v>
      </x:c>
      <x:c r="M167" s="24" t="str">
        <x:f>IF(L167=G167,"Sesuai label latih","Berbeda dari label latih")</x:f>
        <x:v>Sesuai label latih</x:v>
      </x:c>
    </x:row>
    <x:row r="168">
      <x:c r="A168" s="24" t="n">
        <x:v>167</x:v>
      </x:c>
      <x:c r="B168" s="24" t="str">
        <x:v>MP3-P-002</x:v>
      </x:c>
      <x:c r="C168" s="24" t="str">
        <x:v>Siswa MP3 P-002</x:v>
      </x:c>
      <x:c r="D168" s="24" t="str">
        <x:v>MP / Manajemen Perkantoran</x:v>
      </x:c>
      <x:c r="E168" s="24" t="str">
        <x:v>MP 3</x:v>
      </x:c>
      <x:c r="F168" s="24" t="str">
        <x:v>Perempuan</x:v>
      </x:c>
      <x:c r="G168" s="24" t="str">
        <x:v>Minat</x:v>
      </x:c>
      <x:c r="H168" s="26" t="n">
        <x:f>Probabilitas!$C$4*INDEX(Probabilitas!$C$10:$C$11,MATCH(D168,Probabilitas!$A$10:$A$11,0))*INDEX(Probabilitas!$C$16:$C$22,MATCH(E168,Probabilitas!$A$16:$A$22,0))*INDEX(Probabilitas!$C$27:$C$28,MATCH(F168,Probabilitas!$A$27:$A$28,0))</x:f>
        <x:v>0.06563515208059607</x:v>
      </x:c>
      <x:c r="I168" s="26" t="n">
        <x:f>Probabilitas!$C$5*INDEX(Probabilitas!$E$10:$E$11,MATCH(D168,Probabilitas!$A$10:$A$11,0))*INDEX(Probabilitas!$E$16:$E$22,MATCH(E168,Probabilitas!$A$16:$A$22,0))*INDEX(Probabilitas!$E$27:$E$28,MATCH(F168,Probabilitas!$A$27:$A$28,0))</x:f>
        <x:v>4.198188761032436e-7</x:v>
      </x:c>
      <x:c r="J168" s="26" t="n">
        <x:f>IFERROR(H168/(H168+I168),0)</x:f>
        <x:v>0.9999936037903844</x:v>
      </x:c>
      <x:c r="K168" s="26" t="n">
        <x:f>IFERROR(I168/(H168+I168),0)</x:f>
        <x:v>0.000006396209615515206</x:v>
      </x:c>
      <x:c r="L168" s="24" t="str">
        <x:f>IF(J168&gt;=K168,"Minat","Tidak minat")</x:f>
        <x:v>Minat</x:v>
      </x:c>
      <x:c r="M168" s="24" t="str">
        <x:f>IF(L168=G168,"Sesuai label latih","Berbeda dari label latih")</x:f>
        <x:v>Sesuai label latih</x:v>
      </x:c>
    </x:row>
    <x:row r="169">
      <x:c r="A169" s="24" t="n">
        <x:v>168</x:v>
      </x:c>
      <x:c r="B169" s="24" t="str">
        <x:v>MP3-P-003</x:v>
      </x:c>
      <x:c r="C169" s="24" t="str">
        <x:v>Siswa MP3 P-003</x:v>
      </x:c>
      <x:c r="D169" s="24" t="str">
        <x:v>MP / Manajemen Perkantoran</x:v>
      </x:c>
      <x:c r="E169" s="24" t="str">
        <x:v>MP 3</x:v>
      </x:c>
      <x:c r="F169" s="24" t="str">
        <x:v>Perempuan</x:v>
      </x:c>
      <x:c r="G169" s="24" t="str">
        <x:v>Minat</x:v>
      </x:c>
      <x:c r="H169" s="26" t="n">
        <x:f>Probabilitas!$C$4*INDEX(Probabilitas!$C$10:$C$11,MATCH(D169,Probabilitas!$A$10:$A$11,0))*INDEX(Probabilitas!$C$16:$C$22,MATCH(E169,Probabilitas!$A$16:$A$22,0))*INDEX(Probabilitas!$C$27:$C$28,MATCH(F169,Probabilitas!$A$27:$A$28,0))</x:f>
        <x:v>0.06563515208059607</x:v>
      </x:c>
      <x:c r="I169" s="26" t="n">
        <x:f>Probabilitas!$C$5*INDEX(Probabilitas!$E$10:$E$11,MATCH(D169,Probabilitas!$A$10:$A$11,0))*INDEX(Probabilitas!$E$16:$E$22,MATCH(E169,Probabilitas!$A$16:$A$22,0))*INDEX(Probabilitas!$E$27:$E$28,MATCH(F169,Probabilitas!$A$27:$A$28,0))</x:f>
        <x:v>4.198188761032436e-7</x:v>
      </x:c>
      <x:c r="J169" s="26" t="n">
        <x:f>IFERROR(H169/(H169+I169),0)</x:f>
        <x:v>0.9999936037903844</x:v>
      </x:c>
      <x:c r="K169" s="26" t="n">
        <x:f>IFERROR(I169/(H169+I169),0)</x:f>
        <x:v>0.000006396209615515206</x:v>
      </x:c>
      <x:c r="L169" s="24" t="str">
        <x:f>IF(J169&gt;=K169,"Minat","Tidak minat")</x:f>
        <x:v>Minat</x:v>
      </x:c>
      <x:c r="M169" s="24" t="str">
        <x:f>IF(L169=G169,"Sesuai label latih","Berbeda dari label latih")</x:f>
        <x:v>Sesuai label latih</x:v>
      </x:c>
    </x:row>
    <x:row r="170">
      <x:c r="A170" s="24" t="n">
        <x:v>169</x:v>
      </x:c>
      <x:c r="B170" s="24" t="str">
        <x:v>MP3-P-004</x:v>
      </x:c>
      <x:c r="C170" s="24" t="str">
        <x:v>Siswa MP3 P-004</x:v>
      </x:c>
      <x:c r="D170" s="24" t="str">
        <x:v>MP / Manajemen Perkantoran</x:v>
      </x:c>
      <x:c r="E170" s="24" t="str">
        <x:v>MP 3</x:v>
      </x:c>
      <x:c r="F170" s="24" t="str">
        <x:v>Perempuan</x:v>
      </x:c>
      <x:c r="G170" s="24" t="str">
        <x:v>Minat</x:v>
      </x:c>
      <x:c r="H170" s="26" t="n">
        <x:f>Probabilitas!$C$4*INDEX(Probabilitas!$C$10:$C$11,MATCH(D170,Probabilitas!$A$10:$A$11,0))*INDEX(Probabilitas!$C$16:$C$22,MATCH(E170,Probabilitas!$A$16:$A$22,0))*INDEX(Probabilitas!$C$27:$C$28,MATCH(F170,Probabilitas!$A$27:$A$28,0))</x:f>
        <x:v>0.06563515208059607</x:v>
      </x:c>
      <x:c r="I170" s="26" t="n">
        <x:f>Probabilitas!$C$5*INDEX(Probabilitas!$E$10:$E$11,MATCH(D170,Probabilitas!$A$10:$A$11,0))*INDEX(Probabilitas!$E$16:$E$22,MATCH(E170,Probabilitas!$A$16:$A$22,0))*INDEX(Probabilitas!$E$27:$E$28,MATCH(F170,Probabilitas!$A$27:$A$28,0))</x:f>
        <x:v>4.198188761032436e-7</x:v>
      </x:c>
      <x:c r="J170" s="26" t="n">
        <x:f>IFERROR(H170/(H170+I170),0)</x:f>
        <x:v>0.9999936037903844</x:v>
      </x:c>
      <x:c r="K170" s="26" t="n">
        <x:f>IFERROR(I170/(H170+I170),0)</x:f>
        <x:v>0.000006396209615515206</x:v>
      </x:c>
      <x:c r="L170" s="24" t="str">
        <x:f>IF(J170&gt;=K170,"Minat","Tidak minat")</x:f>
        <x:v>Minat</x:v>
      </x:c>
      <x:c r="M170" s="24" t="str">
        <x:f>IF(L170=G170,"Sesuai label latih","Berbeda dari label latih")</x:f>
        <x:v>Sesuai label latih</x:v>
      </x:c>
    </x:row>
    <x:row r="171">
      <x:c r="A171" s="24" t="n">
        <x:v>170</x:v>
      </x:c>
      <x:c r="B171" s="24" t="str">
        <x:v>MP3-P-005</x:v>
      </x:c>
      <x:c r="C171" s="24" t="str">
        <x:v>Siswa MP3 P-005</x:v>
      </x:c>
      <x:c r="D171" s="24" t="str">
        <x:v>MP / Manajemen Perkantoran</x:v>
      </x:c>
      <x:c r="E171" s="24" t="str">
        <x:v>MP 3</x:v>
      </x:c>
      <x:c r="F171" s="24" t="str">
        <x:v>Perempuan</x:v>
      </x:c>
      <x:c r="G171" s="24" t="str">
        <x:v>Minat</x:v>
      </x:c>
      <x:c r="H171" s="26" t="n">
        <x:f>Probabilitas!$C$4*INDEX(Probabilitas!$C$10:$C$11,MATCH(D171,Probabilitas!$A$10:$A$11,0))*INDEX(Probabilitas!$C$16:$C$22,MATCH(E171,Probabilitas!$A$16:$A$22,0))*INDEX(Probabilitas!$C$27:$C$28,MATCH(F171,Probabilitas!$A$27:$A$28,0))</x:f>
        <x:v>0.06563515208059607</x:v>
      </x:c>
      <x:c r="I171" s="26" t="n">
        <x:f>Probabilitas!$C$5*INDEX(Probabilitas!$E$10:$E$11,MATCH(D171,Probabilitas!$A$10:$A$11,0))*INDEX(Probabilitas!$E$16:$E$22,MATCH(E171,Probabilitas!$A$16:$A$22,0))*INDEX(Probabilitas!$E$27:$E$28,MATCH(F171,Probabilitas!$A$27:$A$28,0))</x:f>
        <x:v>4.198188761032436e-7</x:v>
      </x:c>
      <x:c r="J171" s="26" t="n">
        <x:f>IFERROR(H171/(H171+I171),0)</x:f>
        <x:v>0.9999936037903844</x:v>
      </x:c>
      <x:c r="K171" s="26" t="n">
        <x:f>IFERROR(I171/(H171+I171),0)</x:f>
        <x:v>0.000006396209615515206</x:v>
      </x:c>
      <x:c r="L171" s="24" t="str">
        <x:f>IF(J171&gt;=K171,"Minat","Tidak minat")</x:f>
        <x:v>Minat</x:v>
      </x:c>
      <x:c r="M171" s="24" t="str">
        <x:f>IF(L171=G171,"Sesuai label latih","Berbeda dari label latih")</x:f>
        <x:v>Sesuai label latih</x:v>
      </x:c>
    </x:row>
    <x:row r="172">
      <x:c r="A172" s="24" t="n">
        <x:v>171</x:v>
      </x:c>
      <x:c r="B172" s="24" t="str">
        <x:v>MP3-P-006</x:v>
      </x:c>
      <x:c r="C172" s="24" t="str">
        <x:v>Siswa MP3 P-006</x:v>
      </x:c>
      <x:c r="D172" s="24" t="str">
        <x:v>MP / Manajemen Perkantoran</x:v>
      </x:c>
      <x:c r="E172" s="24" t="str">
        <x:v>MP 3</x:v>
      </x:c>
      <x:c r="F172" s="24" t="str">
        <x:v>Perempuan</x:v>
      </x:c>
      <x:c r="G172" s="24" t="str">
        <x:v>Minat</x:v>
      </x:c>
      <x:c r="H172" s="26" t="n">
        <x:f>Probabilitas!$C$4*INDEX(Probabilitas!$C$10:$C$11,MATCH(D172,Probabilitas!$A$10:$A$11,0))*INDEX(Probabilitas!$C$16:$C$22,MATCH(E172,Probabilitas!$A$16:$A$22,0))*INDEX(Probabilitas!$C$27:$C$28,MATCH(F172,Probabilitas!$A$27:$A$28,0))</x:f>
        <x:v>0.06563515208059607</x:v>
      </x:c>
      <x:c r="I172" s="26" t="n">
        <x:f>Probabilitas!$C$5*INDEX(Probabilitas!$E$10:$E$11,MATCH(D172,Probabilitas!$A$10:$A$11,0))*INDEX(Probabilitas!$E$16:$E$22,MATCH(E172,Probabilitas!$A$16:$A$22,0))*INDEX(Probabilitas!$E$27:$E$28,MATCH(F172,Probabilitas!$A$27:$A$28,0))</x:f>
        <x:v>4.198188761032436e-7</x:v>
      </x:c>
      <x:c r="J172" s="26" t="n">
        <x:f>IFERROR(H172/(H172+I172),0)</x:f>
        <x:v>0.9999936037903844</x:v>
      </x:c>
      <x:c r="K172" s="26" t="n">
        <x:f>IFERROR(I172/(H172+I172),0)</x:f>
        <x:v>0.000006396209615515206</x:v>
      </x:c>
      <x:c r="L172" s="24" t="str">
        <x:f>IF(J172&gt;=K172,"Minat","Tidak minat")</x:f>
        <x:v>Minat</x:v>
      </x:c>
      <x:c r="M172" s="24" t="str">
        <x:f>IF(L172=G172,"Sesuai label latih","Berbeda dari label latih")</x:f>
        <x:v>Sesuai label latih</x:v>
      </x:c>
    </x:row>
    <x:row r="173">
      <x:c r="A173" s="24" t="n">
        <x:v>172</x:v>
      </x:c>
      <x:c r="B173" s="24" t="str">
        <x:v>MP3-P-007</x:v>
      </x:c>
      <x:c r="C173" s="24" t="str">
        <x:v>Siswa MP3 P-007</x:v>
      </x:c>
      <x:c r="D173" s="24" t="str">
        <x:v>MP / Manajemen Perkantoran</x:v>
      </x:c>
      <x:c r="E173" s="24" t="str">
        <x:v>MP 3</x:v>
      </x:c>
      <x:c r="F173" s="24" t="str">
        <x:v>Perempuan</x:v>
      </x:c>
      <x:c r="G173" s="24" t="str">
        <x:v>Minat</x:v>
      </x:c>
      <x:c r="H173" s="26" t="n">
        <x:f>Probabilitas!$C$4*INDEX(Probabilitas!$C$10:$C$11,MATCH(D173,Probabilitas!$A$10:$A$11,0))*INDEX(Probabilitas!$C$16:$C$22,MATCH(E173,Probabilitas!$A$16:$A$22,0))*INDEX(Probabilitas!$C$27:$C$28,MATCH(F173,Probabilitas!$A$27:$A$28,0))</x:f>
        <x:v>0.06563515208059607</x:v>
      </x:c>
      <x:c r="I173" s="26" t="n">
        <x:f>Probabilitas!$C$5*INDEX(Probabilitas!$E$10:$E$11,MATCH(D173,Probabilitas!$A$10:$A$11,0))*INDEX(Probabilitas!$E$16:$E$22,MATCH(E173,Probabilitas!$A$16:$A$22,0))*INDEX(Probabilitas!$E$27:$E$28,MATCH(F173,Probabilitas!$A$27:$A$28,0))</x:f>
        <x:v>4.198188761032436e-7</x:v>
      </x:c>
      <x:c r="J173" s="26" t="n">
        <x:f>IFERROR(H173/(H173+I173),0)</x:f>
        <x:v>0.9999936037903844</x:v>
      </x:c>
      <x:c r="K173" s="26" t="n">
        <x:f>IFERROR(I173/(H173+I173),0)</x:f>
        <x:v>0.000006396209615515206</x:v>
      </x:c>
      <x:c r="L173" s="24" t="str">
        <x:f>IF(J173&gt;=K173,"Minat","Tidak minat")</x:f>
        <x:v>Minat</x:v>
      </x:c>
      <x:c r="M173" s="24" t="str">
        <x:f>IF(L173=G173,"Sesuai label latih","Berbeda dari label latih")</x:f>
        <x:v>Sesuai label latih</x:v>
      </x:c>
    </x:row>
    <x:row r="174">
      <x:c r="A174" s="24" t="n">
        <x:v>173</x:v>
      </x:c>
      <x:c r="B174" s="24" t="str">
        <x:v>MP3-P-008</x:v>
      </x:c>
      <x:c r="C174" s="24" t="str">
        <x:v>Siswa MP3 P-008</x:v>
      </x:c>
      <x:c r="D174" s="24" t="str">
        <x:v>MP / Manajemen Perkantoran</x:v>
      </x:c>
      <x:c r="E174" s="24" t="str">
        <x:v>MP 3</x:v>
      </x:c>
      <x:c r="F174" s="24" t="str">
        <x:v>Perempuan</x:v>
      </x:c>
      <x:c r="G174" s="24" t="str">
        <x:v>Minat</x:v>
      </x:c>
      <x:c r="H174" s="26" t="n">
        <x:f>Probabilitas!$C$4*INDEX(Probabilitas!$C$10:$C$11,MATCH(D174,Probabilitas!$A$10:$A$11,0))*INDEX(Probabilitas!$C$16:$C$22,MATCH(E174,Probabilitas!$A$16:$A$22,0))*INDEX(Probabilitas!$C$27:$C$28,MATCH(F174,Probabilitas!$A$27:$A$28,0))</x:f>
        <x:v>0.06563515208059607</x:v>
      </x:c>
      <x:c r="I174" s="26" t="n">
        <x:f>Probabilitas!$C$5*INDEX(Probabilitas!$E$10:$E$11,MATCH(D174,Probabilitas!$A$10:$A$11,0))*INDEX(Probabilitas!$E$16:$E$22,MATCH(E174,Probabilitas!$A$16:$A$22,0))*INDEX(Probabilitas!$E$27:$E$28,MATCH(F174,Probabilitas!$A$27:$A$28,0))</x:f>
        <x:v>4.198188761032436e-7</x:v>
      </x:c>
      <x:c r="J174" s="26" t="n">
        <x:f>IFERROR(H174/(H174+I174),0)</x:f>
        <x:v>0.9999936037903844</x:v>
      </x:c>
      <x:c r="K174" s="26" t="n">
        <x:f>IFERROR(I174/(H174+I174),0)</x:f>
        <x:v>0.000006396209615515206</x:v>
      </x:c>
      <x:c r="L174" s="24" t="str">
        <x:f>IF(J174&gt;=K174,"Minat","Tidak minat")</x:f>
        <x:v>Minat</x:v>
      </x:c>
      <x:c r="M174" s="24" t="str">
        <x:f>IF(L174=G174,"Sesuai label latih","Berbeda dari label latih")</x:f>
        <x:v>Sesuai label latih</x:v>
      </x:c>
    </x:row>
    <x:row r="175">
      <x:c r="A175" s="24" t="n">
        <x:v>174</x:v>
      </x:c>
      <x:c r="B175" s="24" t="str">
        <x:v>MP3-P-009</x:v>
      </x:c>
      <x:c r="C175" s="24" t="str">
        <x:v>Siswa MP3 P-009</x:v>
      </x:c>
      <x:c r="D175" s="24" t="str">
        <x:v>MP / Manajemen Perkantoran</x:v>
      </x:c>
      <x:c r="E175" s="24" t="str">
        <x:v>MP 3</x:v>
      </x:c>
      <x:c r="F175" s="24" t="str">
        <x:v>Perempuan</x:v>
      </x:c>
      <x:c r="G175" s="24" t="str">
        <x:v>Minat</x:v>
      </x:c>
      <x:c r="H175" s="26" t="n">
        <x:f>Probabilitas!$C$4*INDEX(Probabilitas!$C$10:$C$11,MATCH(D175,Probabilitas!$A$10:$A$11,0))*INDEX(Probabilitas!$C$16:$C$22,MATCH(E175,Probabilitas!$A$16:$A$22,0))*INDEX(Probabilitas!$C$27:$C$28,MATCH(F175,Probabilitas!$A$27:$A$28,0))</x:f>
        <x:v>0.06563515208059607</x:v>
      </x:c>
      <x:c r="I175" s="26" t="n">
        <x:f>Probabilitas!$C$5*INDEX(Probabilitas!$E$10:$E$11,MATCH(D175,Probabilitas!$A$10:$A$11,0))*INDEX(Probabilitas!$E$16:$E$22,MATCH(E175,Probabilitas!$A$16:$A$22,0))*INDEX(Probabilitas!$E$27:$E$28,MATCH(F175,Probabilitas!$A$27:$A$28,0))</x:f>
        <x:v>4.198188761032436e-7</x:v>
      </x:c>
      <x:c r="J175" s="26" t="n">
        <x:f>IFERROR(H175/(H175+I175),0)</x:f>
        <x:v>0.9999936037903844</x:v>
      </x:c>
      <x:c r="K175" s="26" t="n">
        <x:f>IFERROR(I175/(H175+I175),0)</x:f>
        <x:v>0.000006396209615515206</x:v>
      </x:c>
      <x:c r="L175" s="24" t="str">
        <x:f>IF(J175&gt;=K175,"Minat","Tidak minat")</x:f>
        <x:v>Minat</x:v>
      </x:c>
      <x:c r="M175" s="24" t="str">
        <x:f>IF(L175=G175,"Sesuai label latih","Berbeda dari label latih")</x:f>
        <x:v>Sesuai label latih</x:v>
      </x:c>
    </x:row>
    <x:row r="176">
      <x:c r="A176" s="24" t="n">
        <x:v>175</x:v>
      </x:c>
      <x:c r="B176" s="24" t="str">
        <x:v>MP3-P-010</x:v>
      </x:c>
      <x:c r="C176" s="24" t="str">
        <x:v>Siswa MP3 P-010</x:v>
      </x:c>
      <x:c r="D176" s="24" t="str">
        <x:v>MP / Manajemen Perkantoran</x:v>
      </x:c>
      <x:c r="E176" s="24" t="str">
        <x:v>MP 3</x:v>
      </x:c>
      <x:c r="F176" s="24" t="str">
        <x:v>Perempuan</x:v>
      </x:c>
      <x:c r="G176" s="24" t="str">
        <x:v>Minat</x:v>
      </x:c>
      <x:c r="H176" s="26" t="n">
        <x:f>Probabilitas!$C$4*INDEX(Probabilitas!$C$10:$C$11,MATCH(D176,Probabilitas!$A$10:$A$11,0))*INDEX(Probabilitas!$C$16:$C$22,MATCH(E176,Probabilitas!$A$16:$A$22,0))*INDEX(Probabilitas!$C$27:$C$28,MATCH(F176,Probabilitas!$A$27:$A$28,0))</x:f>
        <x:v>0.06563515208059607</x:v>
      </x:c>
      <x:c r="I176" s="26" t="n">
        <x:f>Probabilitas!$C$5*INDEX(Probabilitas!$E$10:$E$11,MATCH(D176,Probabilitas!$A$10:$A$11,0))*INDEX(Probabilitas!$E$16:$E$22,MATCH(E176,Probabilitas!$A$16:$A$22,0))*INDEX(Probabilitas!$E$27:$E$28,MATCH(F176,Probabilitas!$A$27:$A$28,0))</x:f>
        <x:v>4.198188761032436e-7</x:v>
      </x:c>
      <x:c r="J176" s="26" t="n">
        <x:f>IFERROR(H176/(H176+I176),0)</x:f>
        <x:v>0.9999936037903844</x:v>
      </x:c>
      <x:c r="K176" s="26" t="n">
        <x:f>IFERROR(I176/(H176+I176),0)</x:f>
        <x:v>0.000006396209615515206</x:v>
      </x:c>
      <x:c r="L176" s="24" t="str">
        <x:f>IF(J176&gt;=K176,"Minat","Tidak minat")</x:f>
        <x:v>Minat</x:v>
      </x:c>
      <x:c r="M176" s="24" t="str">
        <x:f>IF(L176=G176,"Sesuai label latih","Berbeda dari label latih")</x:f>
        <x:v>Sesuai label latih</x:v>
      </x:c>
    </x:row>
    <x:row r="177">
      <x:c r="A177" s="24" t="n">
        <x:v>176</x:v>
      </x:c>
      <x:c r="B177" s="24" t="str">
        <x:v>MP3-P-011</x:v>
      </x:c>
      <x:c r="C177" s="24" t="str">
        <x:v>Siswa MP3 P-011</x:v>
      </x:c>
      <x:c r="D177" s="24" t="str">
        <x:v>MP / Manajemen Perkantoran</x:v>
      </x:c>
      <x:c r="E177" s="24" t="str">
        <x:v>MP 3</x:v>
      </x:c>
      <x:c r="F177" s="24" t="str">
        <x:v>Perempuan</x:v>
      </x:c>
      <x:c r="G177" s="24" t="str">
        <x:v>Minat</x:v>
      </x:c>
      <x:c r="H177" s="26" t="n">
        <x:f>Probabilitas!$C$4*INDEX(Probabilitas!$C$10:$C$11,MATCH(D177,Probabilitas!$A$10:$A$11,0))*INDEX(Probabilitas!$C$16:$C$22,MATCH(E177,Probabilitas!$A$16:$A$22,0))*INDEX(Probabilitas!$C$27:$C$28,MATCH(F177,Probabilitas!$A$27:$A$28,0))</x:f>
        <x:v>0.06563515208059607</x:v>
      </x:c>
      <x:c r="I177" s="26" t="n">
        <x:f>Probabilitas!$C$5*INDEX(Probabilitas!$E$10:$E$11,MATCH(D177,Probabilitas!$A$10:$A$11,0))*INDEX(Probabilitas!$E$16:$E$22,MATCH(E177,Probabilitas!$A$16:$A$22,0))*INDEX(Probabilitas!$E$27:$E$28,MATCH(F177,Probabilitas!$A$27:$A$28,0))</x:f>
        <x:v>4.198188761032436e-7</x:v>
      </x:c>
      <x:c r="J177" s="26" t="n">
        <x:f>IFERROR(H177/(H177+I177),0)</x:f>
        <x:v>0.9999936037903844</x:v>
      </x:c>
      <x:c r="K177" s="26" t="n">
        <x:f>IFERROR(I177/(H177+I177),0)</x:f>
        <x:v>0.000006396209615515206</x:v>
      </x:c>
      <x:c r="L177" s="24" t="str">
        <x:f>IF(J177&gt;=K177,"Minat","Tidak minat")</x:f>
        <x:v>Minat</x:v>
      </x:c>
      <x:c r="M177" s="24" t="str">
        <x:f>IF(L177=G177,"Sesuai label latih","Berbeda dari label latih")</x:f>
        <x:v>Sesuai label latih</x:v>
      </x:c>
    </x:row>
    <x:row r="178">
      <x:c r="A178" s="24" t="n">
        <x:v>177</x:v>
      </x:c>
      <x:c r="B178" s="24" t="str">
        <x:v>MP3-P-012</x:v>
      </x:c>
      <x:c r="C178" s="24" t="str">
        <x:v>Siswa MP3 P-012</x:v>
      </x:c>
      <x:c r="D178" s="24" t="str">
        <x:v>MP / Manajemen Perkantoran</x:v>
      </x:c>
      <x:c r="E178" s="24" t="str">
        <x:v>MP 3</x:v>
      </x:c>
      <x:c r="F178" s="24" t="str">
        <x:v>Perempuan</x:v>
      </x:c>
      <x:c r="G178" s="24" t="str">
        <x:v>Minat</x:v>
      </x:c>
      <x:c r="H178" s="26" t="n">
        <x:f>Probabilitas!$C$4*INDEX(Probabilitas!$C$10:$C$11,MATCH(D178,Probabilitas!$A$10:$A$11,0))*INDEX(Probabilitas!$C$16:$C$22,MATCH(E178,Probabilitas!$A$16:$A$22,0))*INDEX(Probabilitas!$C$27:$C$28,MATCH(F178,Probabilitas!$A$27:$A$28,0))</x:f>
        <x:v>0.06563515208059607</x:v>
      </x:c>
      <x:c r="I178" s="26" t="n">
        <x:f>Probabilitas!$C$5*INDEX(Probabilitas!$E$10:$E$11,MATCH(D178,Probabilitas!$A$10:$A$11,0))*INDEX(Probabilitas!$E$16:$E$22,MATCH(E178,Probabilitas!$A$16:$A$22,0))*INDEX(Probabilitas!$E$27:$E$28,MATCH(F178,Probabilitas!$A$27:$A$28,0))</x:f>
        <x:v>4.198188761032436e-7</x:v>
      </x:c>
      <x:c r="J178" s="26" t="n">
        <x:f>IFERROR(H178/(H178+I178),0)</x:f>
        <x:v>0.9999936037903844</x:v>
      </x:c>
      <x:c r="K178" s="26" t="n">
        <x:f>IFERROR(I178/(H178+I178),0)</x:f>
        <x:v>0.000006396209615515206</x:v>
      </x:c>
      <x:c r="L178" s="24" t="str">
        <x:f>IF(J178&gt;=K178,"Minat","Tidak minat")</x:f>
        <x:v>Minat</x:v>
      </x:c>
      <x:c r="M178" s="24" t="str">
        <x:f>IF(L178=G178,"Sesuai label latih","Berbeda dari label latih")</x:f>
        <x:v>Sesuai label latih</x:v>
      </x:c>
    </x:row>
    <x:row r="179">
      <x:c r="A179" s="24" t="n">
        <x:v>178</x:v>
      </x:c>
      <x:c r="B179" s="24" t="str">
        <x:v>MP3-P-013</x:v>
      </x:c>
      <x:c r="C179" s="24" t="str">
        <x:v>Siswa MP3 P-013</x:v>
      </x:c>
      <x:c r="D179" s="24" t="str">
        <x:v>MP / Manajemen Perkantoran</x:v>
      </x:c>
      <x:c r="E179" s="24" t="str">
        <x:v>MP 3</x:v>
      </x:c>
      <x:c r="F179" s="24" t="str">
        <x:v>Perempuan</x:v>
      </x:c>
      <x:c r="G179" s="24" t="str">
        <x:v>Minat</x:v>
      </x:c>
      <x:c r="H179" s="26" t="n">
        <x:f>Probabilitas!$C$4*INDEX(Probabilitas!$C$10:$C$11,MATCH(D179,Probabilitas!$A$10:$A$11,0))*INDEX(Probabilitas!$C$16:$C$22,MATCH(E179,Probabilitas!$A$16:$A$22,0))*INDEX(Probabilitas!$C$27:$C$28,MATCH(F179,Probabilitas!$A$27:$A$28,0))</x:f>
        <x:v>0.06563515208059607</x:v>
      </x:c>
      <x:c r="I179" s="26" t="n">
        <x:f>Probabilitas!$C$5*INDEX(Probabilitas!$E$10:$E$11,MATCH(D179,Probabilitas!$A$10:$A$11,0))*INDEX(Probabilitas!$E$16:$E$22,MATCH(E179,Probabilitas!$A$16:$A$22,0))*INDEX(Probabilitas!$E$27:$E$28,MATCH(F179,Probabilitas!$A$27:$A$28,0))</x:f>
        <x:v>4.198188761032436e-7</x:v>
      </x:c>
      <x:c r="J179" s="26" t="n">
        <x:f>IFERROR(H179/(H179+I179),0)</x:f>
        <x:v>0.9999936037903844</x:v>
      </x:c>
      <x:c r="K179" s="26" t="n">
        <x:f>IFERROR(I179/(H179+I179),0)</x:f>
        <x:v>0.000006396209615515206</x:v>
      </x:c>
      <x:c r="L179" s="24" t="str">
        <x:f>IF(J179&gt;=K179,"Minat","Tidak minat")</x:f>
        <x:v>Minat</x:v>
      </x:c>
      <x:c r="M179" s="24" t="str">
        <x:f>IF(L179=G179,"Sesuai label latih","Berbeda dari label latih")</x:f>
        <x:v>Sesuai label latih</x:v>
      </x:c>
    </x:row>
    <x:row r="180">
      <x:c r="A180" s="24" t="n">
        <x:v>179</x:v>
      </x:c>
      <x:c r="B180" s="24" t="str">
        <x:v>MP3-P-014</x:v>
      </x:c>
      <x:c r="C180" s="24" t="str">
        <x:v>Siswa MP3 P-014</x:v>
      </x:c>
      <x:c r="D180" s="24" t="str">
        <x:v>MP / Manajemen Perkantoran</x:v>
      </x:c>
      <x:c r="E180" s="24" t="str">
        <x:v>MP 3</x:v>
      </x:c>
      <x:c r="F180" s="24" t="str">
        <x:v>Perempuan</x:v>
      </x:c>
      <x:c r="G180" s="24" t="str">
        <x:v>Minat</x:v>
      </x:c>
      <x:c r="H180" s="26" t="n">
        <x:f>Probabilitas!$C$4*INDEX(Probabilitas!$C$10:$C$11,MATCH(D180,Probabilitas!$A$10:$A$11,0))*INDEX(Probabilitas!$C$16:$C$22,MATCH(E180,Probabilitas!$A$16:$A$22,0))*INDEX(Probabilitas!$C$27:$C$28,MATCH(F180,Probabilitas!$A$27:$A$28,0))</x:f>
        <x:v>0.06563515208059607</x:v>
      </x:c>
      <x:c r="I180" s="26" t="n">
        <x:f>Probabilitas!$C$5*INDEX(Probabilitas!$E$10:$E$11,MATCH(D180,Probabilitas!$A$10:$A$11,0))*INDEX(Probabilitas!$E$16:$E$22,MATCH(E180,Probabilitas!$A$16:$A$22,0))*INDEX(Probabilitas!$E$27:$E$28,MATCH(F180,Probabilitas!$A$27:$A$28,0))</x:f>
        <x:v>4.198188761032436e-7</x:v>
      </x:c>
      <x:c r="J180" s="26" t="n">
        <x:f>IFERROR(H180/(H180+I180),0)</x:f>
        <x:v>0.9999936037903844</x:v>
      </x:c>
      <x:c r="K180" s="26" t="n">
        <x:f>IFERROR(I180/(H180+I180),0)</x:f>
        <x:v>0.000006396209615515206</x:v>
      </x:c>
      <x:c r="L180" s="24" t="str">
        <x:f>IF(J180&gt;=K180,"Minat","Tidak minat")</x:f>
        <x:v>Minat</x:v>
      </x:c>
      <x:c r="M180" s="24" t="str">
        <x:f>IF(L180=G180,"Sesuai label latih","Berbeda dari label latih")</x:f>
        <x:v>Sesuai label latih</x:v>
      </x:c>
    </x:row>
    <x:row r="181">
      <x:c r="A181" s="24" t="n">
        <x:v>180</x:v>
      </x:c>
      <x:c r="B181" s="24" t="str">
        <x:v>MP3-P-015</x:v>
      </x:c>
      <x:c r="C181" s="24" t="str">
        <x:v>Siswa MP3 P-015</x:v>
      </x:c>
      <x:c r="D181" s="24" t="str">
        <x:v>MP / Manajemen Perkantoran</x:v>
      </x:c>
      <x:c r="E181" s="24" t="str">
        <x:v>MP 3</x:v>
      </x:c>
      <x:c r="F181" s="24" t="str">
        <x:v>Perempuan</x:v>
      </x:c>
      <x:c r="G181" s="24" t="str">
        <x:v>Minat</x:v>
      </x:c>
      <x:c r="H181" s="26" t="n">
        <x:f>Probabilitas!$C$4*INDEX(Probabilitas!$C$10:$C$11,MATCH(D181,Probabilitas!$A$10:$A$11,0))*INDEX(Probabilitas!$C$16:$C$22,MATCH(E181,Probabilitas!$A$16:$A$22,0))*INDEX(Probabilitas!$C$27:$C$28,MATCH(F181,Probabilitas!$A$27:$A$28,0))</x:f>
        <x:v>0.06563515208059607</x:v>
      </x:c>
      <x:c r="I181" s="26" t="n">
        <x:f>Probabilitas!$C$5*INDEX(Probabilitas!$E$10:$E$11,MATCH(D181,Probabilitas!$A$10:$A$11,0))*INDEX(Probabilitas!$E$16:$E$22,MATCH(E181,Probabilitas!$A$16:$A$22,0))*INDEX(Probabilitas!$E$27:$E$28,MATCH(F181,Probabilitas!$A$27:$A$28,0))</x:f>
        <x:v>4.198188761032436e-7</x:v>
      </x:c>
      <x:c r="J181" s="26" t="n">
        <x:f>IFERROR(H181/(H181+I181),0)</x:f>
        <x:v>0.9999936037903844</x:v>
      </x:c>
      <x:c r="K181" s="26" t="n">
        <x:f>IFERROR(I181/(H181+I181),0)</x:f>
        <x:v>0.000006396209615515206</x:v>
      </x:c>
      <x:c r="L181" s="24" t="str">
        <x:f>IF(J181&gt;=K181,"Minat","Tidak minat")</x:f>
        <x:v>Minat</x:v>
      </x:c>
      <x:c r="M181" s="24" t="str">
        <x:f>IF(L181=G181,"Sesuai label latih","Berbeda dari label latih")</x:f>
        <x:v>Sesuai label latih</x:v>
      </x:c>
    </x:row>
    <x:row r="182">
      <x:c r="A182" s="24" t="n">
        <x:v>181</x:v>
      </x:c>
      <x:c r="B182" s="24" t="str">
        <x:v>MP3-P-016</x:v>
      </x:c>
      <x:c r="C182" s="24" t="str">
        <x:v>Siswa MP3 P-016</x:v>
      </x:c>
      <x:c r="D182" s="24" t="str">
        <x:v>MP / Manajemen Perkantoran</x:v>
      </x:c>
      <x:c r="E182" s="24" t="str">
        <x:v>MP 3</x:v>
      </x:c>
      <x:c r="F182" s="24" t="str">
        <x:v>Perempuan</x:v>
      </x:c>
      <x:c r="G182" s="24" t="str">
        <x:v>Minat</x:v>
      </x:c>
      <x:c r="H182" s="26" t="n">
        <x:f>Probabilitas!$C$4*INDEX(Probabilitas!$C$10:$C$11,MATCH(D182,Probabilitas!$A$10:$A$11,0))*INDEX(Probabilitas!$C$16:$C$22,MATCH(E182,Probabilitas!$A$16:$A$22,0))*INDEX(Probabilitas!$C$27:$C$28,MATCH(F182,Probabilitas!$A$27:$A$28,0))</x:f>
        <x:v>0.06563515208059607</x:v>
      </x:c>
      <x:c r="I182" s="26" t="n">
        <x:f>Probabilitas!$C$5*INDEX(Probabilitas!$E$10:$E$11,MATCH(D182,Probabilitas!$A$10:$A$11,0))*INDEX(Probabilitas!$E$16:$E$22,MATCH(E182,Probabilitas!$A$16:$A$22,0))*INDEX(Probabilitas!$E$27:$E$28,MATCH(F182,Probabilitas!$A$27:$A$28,0))</x:f>
        <x:v>4.198188761032436e-7</x:v>
      </x:c>
      <x:c r="J182" s="26" t="n">
        <x:f>IFERROR(H182/(H182+I182),0)</x:f>
        <x:v>0.9999936037903844</x:v>
      </x:c>
      <x:c r="K182" s="26" t="n">
        <x:f>IFERROR(I182/(H182+I182),0)</x:f>
        <x:v>0.000006396209615515206</x:v>
      </x:c>
      <x:c r="L182" s="24" t="str">
        <x:f>IF(J182&gt;=K182,"Minat","Tidak minat")</x:f>
        <x:v>Minat</x:v>
      </x:c>
      <x:c r="M182" s="24" t="str">
        <x:f>IF(L182=G182,"Sesuai label latih","Berbeda dari label latih")</x:f>
        <x:v>Sesuai label latih</x:v>
      </x:c>
    </x:row>
    <x:row r="183">
      <x:c r="A183" s="24" t="n">
        <x:v>182</x:v>
      </x:c>
      <x:c r="B183" s="24" t="str">
        <x:v>MP3-P-017</x:v>
      </x:c>
      <x:c r="C183" s="24" t="str">
        <x:v>Siswa MP3 P-017</x:v>
      </x:c>
      <x:c r="D183" s="24" t="str">
        <x:v>MP / Manajemen Perkantoran</x:v>
      </x:c>
      <x:c r="E183" s="24" t="str">
        <x:v>MP 3</x:v>
      </x:c>
      <x:c r="F183" s="24" t="str">
        <x:v>Perempuan</x:v>
      </x:c>
      <x:c r="G183" s="24" t="str">
        <x:v>Minat</x:v>
      </x:c>
      <x:c r="H183" s="26" t="n">
        <x:f>Probabilitas!$C$4*INDEX(Probabilitas!$C$10:$C$11,MATCH(D183,Probabilitas!$A$10:$A$11,0))*INDEX(Probabilitas!$C$16:$C$22,MATCH(E183,Probabilitas!$A$16:$A$22,0))*INDEX(Probabilitas!$C$27:$C$28,MATCH(F183,Probabilitas!$A$27:$A$28,0))</x:f>
        <x:v>0.06563515208059607</x:v>
      </x:c>
      <x:c r="I183" s="26" t="n">
        <x:f>Probabilitas!$C$5*INDEX(Probabilitas!$E$10:$E$11,MATCH(D183,Probabilitas!$A$10:$A$11,0))*INDEX(Probabilitas!$E$16:$E$22,MATCH(E183,Probabilitas!$A$16:$A$22,0))*INDEX(Probabilitas!$E$27:$E$28,MATCH(F183,Probabilitas!$A$27:$A$28,0))</x:f>
        <x:v>4.198188761032436e-7</x:v>
      </x:c>
      <x:c r="J183" s="26" t="n">
        <x:f>IFERROR(H183/(H183+I183),0)</x:f>
        <x:v>0.9999936037903844</x:v>
      </x:c>
      <x:c r="K183" s="26" t="n">
        <x:f>IFERROR(I183/(H183+I183),0)</x:f>
        <x:v>0.000006396209615515206</x:v>
      </x:c>
      <x:c r="L183" s="24" t="str">
        <x:f>IF(J183&gt;=K183,"Minat","Tidak minat")</x:f>
        <x:v>Minat</x:v>
      </x:c>
      <x:c r="M183" s="24" t="str">
        <x:f>IF(L183=G183,"Sesuai label latih","Berbeda dari label latih")</x:f>
        <x:v>Sesuai label latih</x:v>
      </x:c>
    </x:row>
    <x:row r="184">
      <x:c r="A184" s="24" t="n">
        <x:v>183</x:v>
      </x:c>
      <x:c r="B184" s="24" t="str">
        <x:v>MP3-P-018</x:v>
      </x:c>
      <x:c r="C184" s="24" t="str">
        <x:v>Siswa MP3 P-018</x:v>
      </x:c>
      <x:c r="D184" s="24" t="str">
        <x:v>MP / Manajemen Perkantoran</x:v>
      </x:c>
      <x:c r="E184" s="24" t="str">
        <x:v>MP 3</x:v>
      </x:c>
      <x:c r="F184" s="24" t="str">
        <x:v>Perempuan</x:v>
      </x:c>
      <x:c r="G184" s="24" t="str">
        <x:v>Minat</x:v>
      </x:c>
      <x:c r="H184" s="26" t="n">
        <x:f>Probabilitas!$C$4*INDEX(Probabilitas!$C$10:$C$11,MATCH(D184,Probabilitas!$A$10:$A$11,0))*INDEX(Probabilitas!$C$16:$C$22,MATCH(E184,Probabilitas!$A$16:$A$22,0))*INDEX(Probabilitas!$C$27:$C$28,MATCH(F184,Probabilitas!$A$27:$A$28,0))</x:f>
        <x:v>0.06563515208059607</x:v>
      </x:c>
      <x:c r="I184" s="26" t="n">
        <x:f>Probabilitas!$C$5*INDEX(Probabilitas!$E$10:$E$11,MATCH(D184,Probabilitas!$A$10:$A$11,0))*INDEX(Probabilitas!$E$16:$E$22,MATCH(E184,Probabilitas!$A$16:$A$22,0))*INDEX(Probabilitas!$E$27:$E$28,MATCH(F184,Probabilitas!$A$27:$A$28,0))</x:f>
        <x:v>4.198188761032436e-7</x:v>
      </x:c>
      <x:c r="J184" s="26" t="n">
        <x:f>IFERROR(H184/(H184+I184),0)</x:f>
        <x:v>0.9999936037903844</x:v>
      </x:c>
      <x:c r="K184" s="26" t="n">
        <x:f>IFERROR(I184/(H184+I184),0)</x:f>
        <x:v>0.000006396209615515206</x:v>
      </x:c>
      <x:c r="L184" s="24" t="str">
        <x:f>IF(J184&gt;=K184,"Minat","Tidak minat")</x:f>
        <x:v>Minat</x:v>
      </x:c>
      <x:c r="M184" s="24" t="str">
        <x:f>IF(L184=G184,"Sesuai label latih","Berbeda dari label latih")</x:f>
        <x:v>Sesuai label latih</x:v>
      </x:c>
    </x:row>
    <x:row r="185">
      <x:c r="A185" s="24" t="n">
        <x:v>184</x:v>
      </x:c>
      <x:c r="B185" s="24" t="str">
        <x:v>MP3-P-019</x:v>
      </x:c>
      <x:c r="C185" s="24" t="str">
        <x:v>Siswa MP3 P-019</x:v>
      </x:c>
      <x:c r="D185" s="24" t="str">
        <x:v>MP / Manajemen Perkantoran</x:v>
      </x:c>
      <x:c r="E185" s="24" t="str">
        <x:v>MP 3</x:v>
      </x:c>
      <x:c r="F185" s="24" t="str">
        <x:v>Perempuan</x:v>
      </x:c>
      <x:c r="G185" s="24" t="str">
        <x:v>Minat</x:v>
      </x:c>
      <x:c r="H185" s="26" t="n">
        <x:f>Probabilitas!$C$4*INDEX(Probabilitas!$C$10:$C$11,MATCH(D185,Probabilitas!$A$10:$A$11,0))*INDEX(Probabilitas!$C$16:$C$22,MATCH(E185,Probabilitas!$A$16:$A$22,0))*INDEX(Probabilitas!$C$27:$C$28,MATCH(F185,Probabilitas!$A$27:$A$28,0))</x:f>
        <x:v>0.06563515208059607</x:v>
      </x:c>
      <x:c r="I185" s="26" t="n">
        <x:f>Probabilitas!$C$5*INDEX(Probabilitas!$E$10:$E$11,MATCH(D185,Probabilitas!$A$10:$A$11,0))*INDEX(Probabilitas!$E$16:$E$22,MATCH(E185,Probabilitas!$A$16:$A$22,0))*INDEX(Probabilitas!$E$27:$E$28,MATCH(F185,Probabilitas!$A$27:$A$28,0))</x:f>
        <x:v>4.198188761032436e-7</x:v>
      </x:c>
      <x:c r="J185" s="26" t="n">
        <x:f>IFERROR(H185/(H185+I185),0)</x:f>
        <x:v>0.9999936037903844</x:v>
      </x:c>
      <x:c r="K185" s="26" t="n">
        <x:f>IFERROR(I185/(H185+I185),0)</x:f>
        <x:v>0.000006396209615515206</x:v>
      </x:c>
      <x:c r="L185" s="24" t="str">
        <x:f>IF(J185&gt;=K185,"Minat","Tidak minat")</x:f>
        <x:v>Minat</x:v>
      </x:c>
      <x:c r="M185" s="24" t="str">
        <x:f>IF(L185=G185,"Sesuai label latih","Berbeda dari label latih")</x:f>
        <x:v>Sesuai label latih</x:v>
      </x:c>
    </x:row>
    <x:row r="186">
      <x:c r="A186" s="24" t="n">
        <x:v>185</x:v>
      </x:c>
      <x:c r="B186" s="24" t="str">
        <x:v>MP3-P-020</x:v>
      </x:c>
      <x:c r="C186" s="24" t="str">
        <x:v>Siswa MP3 P-020</x:v>
      </x:c>
      <x:c r="D186" s="24" t="str">
        <x:v>MP / Manajemen Perkantoran</x:v>
      </x:c>
      <x:c r="E186" s="24" t="str">
        <x:v>MP 3</x:v>
      </x:c>
      <x:c r="F186" s="24" t="str">
        <x:v>Perempuan</x:v>
      </x:c>
      <x:c r="G186" s="24" t="str">
        <x:v>Minat</x:v>
      </x:c>
      <x:c r="H186" s="26" t="n">
        <x:f>Probabilitas!$C$4*INDEX(Probabilitas!$C$10:$C$11,MATCH(D186,Probabilitas!$A$10:$A$11,0))*INDEX(Probabilitas!$C$16:$C$22,MATCH(E186,Probabilitas!$A$16:$A$22,0))*INDEX(Probabilitas!$C$27:$C$28,MATCH(F186,Probabilitas!$A$27:$A$28,0))</x:f>
        <x:v>0.06563515208059607</x:v>
      </x:c>
      <x:c r="I186" s="26" t="n">
        <x:f>Probabilitas!$C$5*INDEX(Probabilitas!$E$10:$E$11,MATCH(D186,Probabilitas!$A$10:$A$11,0))*INDEX(Probabilitas!$E$16:$E$22,MATCH(E186,Probabilitas!$A$16:$A$22,0))*INDEX(Probabilitas!$E$27:$E$28,MATCH(F186,Probabilitas!$A$27:$A$28,0))</x:f>
        <x:v>4.198188761032436e-7</x:v>
      </x:c>
      <x:c r="J186" s="26" t="n">
        <x:f>IFERROR(H186/(H186+I186),0)</x:f>
        <x:v>0.9999936037903844</x:v>
      </x:c>
      <x:c r="K186" s="26" t="n">
        <x:f>IFERROR(I186/(H186+I186),0)</x:f>
        <x:v>0.000006396209615515206</x:v>
      </x:c>
      <x:c r="L186" s="24" t="str">
        <x:f>IF(J186&gt;=K186,"Minat","Tidak minat")</x:f>
        <x:v>Minat</x:v>
      </x:c>
      <x:c r="M186" s="24" t="str">
        <x:f>IF(L186=G186,"Sesuai label latih","Berbeda dari label latih")</x:f>
        <x:v>Sesuai label latih</x:v>
      </x:c>
    </x:row>
    <x:row r="187">
      <x:c r="A187" s="24" t="n">
        <x:v>186</x:v>
      </x:c>
      <x:c r="B187" s="24" t="str">
        <x:v>MP3-P-021</x:v>
      </x:c>
      <x:c r="C187" s="24" t="str">
        <x:v>Siswa MP3 P-021</x:v>
      </x:c>
      <x:c r="D187" s="24" t="str">
        <x:v>MP / Manajemen Perkantoran</x:v>
      </x:c>
      <x:c r="E187" s="24" t="str">
        <x:v>MP 3</x:v>
      </x:c>
      <x:c r="F187" s="24" t="str">
        <x:v>Perempuan</x:v>
      </x:c>
      <x:c r="G187" s="24" t="str">
        <x:v>Minat</x:v>
      </x:c>
      <x:c r="H187" s="26" t="n">
        <x:f>Probabilitas!$C$4*INDEX(Probabilitas!$C$10:$C$11,MATCH(D187,Probabilitas!$A$10:$A$11,0))*INDEX(Probabilitas!$C$16:$C$22,MATCH(E187,Probabilitas!$A$16:$A$22,0))*INDEX(Probabilitas!$C$27:$C$28,MATCH(F187,Probabilitas!$A$27:$A$28,0))</x:f>
        <x:v>0.06563515208059607</x:v>
      </x:c>
      <x:c r="I187" s="26" t="n">
        <x:f>Probabilitas!$C$5*INDEX(Probabilitas!$E$10:$E$11,MATCH(D187,Probabilitas!$A$10:$A$11,0))*INDEX(Probabilitas!$E$16:$E$22,MATCH(E187,Probabilitas!$A$16:$A$22,0))*INDEX(Probabilitas!$E$27:$E$28,MATCH(F187,Probabilitas!$A$27:$A$28,0))</x:f>
        <x:v>4.198188761032436e-7</x:v>
      </x:c>
      <x:c r="J187" s="26" t="n">
        <x:f>IFERROR(H187/(H187+I187),0)</x:f>
        <x:v>0.9999936037903844</x:v>
      </x:c>
      <x:c r="K187" s="26" t="n">
        <x:f>IFERROR(I187/(H187+I187),0)</x:f>
        <x:v>0.000006396209615515206</x:v>
      </x:c>
      <x:c r="L187" s="24" t="str">
        <x:f>IF(J187&gt;=K187,"Minat","Tidak minat")</x:f>
        <x:v>Minat</x:v>
      </x:c>
      <x:c r="M187" s="24" t="str">
        <x:f>IF(L187=G187,"Sesuai label latih","Berbeda dari label latih")</x:f>
        <x:v>Sesuai label latih</x:v>
      </x:c>
    </x:row>
    <x:row r="188">
      <x:c r="A188" s="24" t="n">
        <x:v>187</x:v>
      </x:c>
      <x:c r="B188" s="24" t="str">
        <x:v>MP3-P-022</x:v>
      </x:c>
      <x:c r="C188" s="24" t="str">
        <x:v>Siswa MP3 P-022</x:v>
      </x:c>
      <x:c r="D188" s="24" t="str">
        <x:v>MP / Manajemen Perkantoran</x:v>
      </x:c>
      <x:c r="E188" s="24" t="str">
        <x:v>MP 3</x:v>
      </x:c>
      <x:c r="F188" s="24" t="str">
        <x:v>Perempuan</x:v>
      </x:c>
      <x:c r="G188" s="24" t="str">
        <x:v>Minat</x:v>
      </x:c>
      <x:c r="H188" s="26" t="n">
        <x:f>Probabilitas!$C$4*INDEX(Probabilitas!$C$10:$C$11,MATCH(D188,Probabilitas!$A$10:$A$11,0))*INDEX(Probabilitas!$C$16:$C$22,MATCH(E188,Probabilitas!$A$16:$A$22,0))*INDEX(Probabilitas!$C$27:$C$28,MATCH(F188,Probabilitas!$A$27:$A$28,0))</x:f>
        <x:v>0.06563515208059607</x:v>
      </x:c>
      <x:c r="I188" s="26" t="n">
        <x:f>Probabilitas!$C$5*INDEX(Probabilitas!$E$10:$E$11,MATCH(D188,Probabilitas!$A$10:$A$11,0))*INDEX(Probabilitas!$E$16:$E$22,MATCH(E188,Probabilitas!$A$16:$A$22,0))*INDEX(Probabilitas!$E$27:$E$28,MATCH(F188,Probabilitas!$A$27:$A$28,0))</x:f>
        <x:v>4.198188761032436e-7</x:v>
      </x:c>
      <x:c r="J188" s="26" t="n">
        <x:f>IFERROR(H188/(H188+I188),0)</x:f>
        <x:v>0.9999936037903844</x:v>
      </x:c>
      <x:c r="K188" s="26" t="n">
        <x:f>IFERROR(I188/(H188+I188),0)</x:f>
        <x:v>0.000006396209615515206</x:v>
      </x:c>
      <x:c r="L188" s="24" t="str">
        <x:f>IF(J188&gt;=K188,"Minat","Tidak minat")</x:f>
        <x:v>Minat</x:v>
      </x:c>
      <x:c r="M188" s="24" t="str">
        <x:f>IF(L188=G188,"Sesuai label latih","Berbeda dari label latih")</x:f>
        <x:v>Sesuai label latih</x:v>
      </x:c>
    </x:row>
    <x:row r="189">
      <x:c r="A189" s="24" t="n">
        <x:v>188</x:v>
      </x:c>
      <x:c r="B189" s="24" t="str">
        <x:v>MP3-P-023</x:v>
      </x:c>
      <x:c r="C189" s="24" t="str">
        <x:v>Siswa MP3 P-023</x:v>
      </x:c>
      <x:c r="D189" s="24" t="str">
        <x:v>MP / Manajemen Perkantoran</x:v>
      </x:c>
      <x:c r="E189" s="24" t="str">
        <x:v>MP 3</x:v>
      </x:c>
      <x:c r="F189" s="24" t="str">
        <x:v>Perempuan</x:v>
      </x:c>
      <x:c r="G189" s="24" t="str">
        <x:v>Minat</x:v>
      </x:c>
      <x:c r="H189" s="26" t="n">
        <x:f>Probabilitas!$C$4*INDEX(Probabilitas!$C$10:$C$11,MATCH(D189,Probabilitas!$A$10:$A$11,0))*INDEX(Probabilitas!$C$16:$C$22,MATCH(E189,Probabilitas!$A$16:$A$22,0))*INDEX(Probabilitas!$C$27:$C$28,MATCH(F189,Probabilitas!$A$27:$A$28,0))</x:f>
        <x:v>0.06563515208059607</x:v>
      </x:c>
      <x:c r="I189" s="26" t="n">
        <x:f>Probabilitas!$C$5*INDEX(Probabilitas!$E$10:$E$11,MATCH(D189,Probabilitas!$A$10:$A$11,0))*INDEX(Probabilitas!$E$16:$E$22,MATCH(E189,Probabilitas!$A$16:$A$22,0))*INDEX(Probabilitas!$E$27:$E$28,MATCH(F189,Probabilitas!$A$27:$A$28,0))</x:f>
        <x:v>4.198188761032436e-7</x:v>
      </x:c>
      <x:c r="J189" s="26" t="n">
        <x:f>IFERROR(H189/(H189+I189),0)</x:f>
        <x:v>0.9999936037903844</x:v>
      </x:c>
      <x:c r="K189" s="26" t="n">
        <x:f>IFERROR(I189/(H189+I189),0)</x:f>
        <x:v>0.000006396209615515206</x:v>
      </x:c>
      <x:c r="L189" s="24" t="str">
        <x:f>IF(J189&gt;=K189,"Minat","Tidak minat")</x:f>
        <x:v>Minat</x:v>
      </x:c>
      <x:c r="M189" s="24" t="str">
        <x:f>IF(L189=G189,"Sesuai label latih","Berbeda dari label latih")</x:f>
        <x:v>Sesuai label latih</x:v>
      </x:c>
    </x:row>
    <x:row r="190">
      <x:c r="A190" s="24" t="n">
        <x:v>189</x:v>
      </x:c>
      <x:c r="B190" s="24" t="str">
        <x:v>MP3-P-024</x:v>
      </x:c>
      <x:c r="C190" s="24" t="str">
        <x:v>Siswa MP3 P-024</x:v>
      </x:c>
      <x:c r="D190" s="24" t="str">
        <x:v>MP / Manajemen Perkantoran</x:v>
      </x:c>
      <x:c r="E190" s="24" t="str">
        <x:v>MP 3</x:v>
      </x:c>
      <x:c r="F190" s="24" t="str">
        <x:v>Perempuan</x:v>
      </x:c>
      <x:c r="G190" s="24" t="str">
        <x:v>Minat</x:v>
      </x:c>
      <x:c r="H190" s="26" t="n">
        <x:f>Probabilitas!$C$4*INDEX(Probabilitas!$C$10:$C$11,MATCH(D190,Probabilitas!$A$10:$A$11,0))*INDEX(Probabilitas!$C$16:$C$22,MATCH(E190,Probabilitas!$A$16:$A$22,0))*INDEX(Probabilitas!$C$27:$C$28,MATCH(F190,Probabilitas!$A$27:$A$28,0))</x:f>
        <x:v>0.06563515208059607</x:v>
      </x:c>
      <x:c r="I190" s="26" t="n">
        <x:f>Probabilitas!$C$5*INDEX(Probabilitas!$E$10:$E$11,MATCH(D190,Probabilitas!$A$10:$A$11,0))*INDEX(Probabilitas!$E$16:$E$22,MATCH(E190,Probabilitas!$A$16:$A$22,0))*INDEX(Probabilitas!$E$27:$E$28,MATCH(F190,Probabilitas!$A$27:$A$28,0))</x:f>
        <x:v>4.198188761032436e-7</x:v>
      </x:c>
      <x:c r="J190" s="26" t="n">
        <x:f>IFERROR(H190/(H190+I190),0)</x:f>
        <x:v>0.9999936037903844</x:v>
      </x:c>
      <x:c r="K190" s="26" t="n">
        <x:f>IFERROR(I190/(H190+I190),0)</x:f>
        <x:v>0.000006396209615515206</x:v>
      </x:c>
      <x:c r="L190" s="24" t="str">
        <x:f>IF(J190&gt;=K190,"Minat","Tidak minat")</x:f>
        <x:v>Minat</x:v>
      </x:c>
      <x:c r="M190" s="24" t="str">
        <x:f>IF(L190=G190,"Sesuai label latih","Berbeda dari label latih")</x:f>
        <x:v>Sesuai label latih</x:v>
      </x:c>
    </x:row>
    <x:row r="191">
      <x:c r="A191" s="24" t="n">
        <x:v>190</x:v>
      </x:c>
      <x:c r="B191" s="24" t="str">
        <x:v>MP3-P-025</x:v>
      </x:c>
      <x:c r="C191" s="24" t="str">
        <x:v>Siswa MP3 P-025</x:v>
      </x:c>
      <x:c r="D191" s="24" t="str">
        <x:v>MP / Manajemen Perkantoran</x:v>
      </x:c>
      <x:c r="E191" s="24" t="str">
        <x:v>MP 3</x:v>
      </x:c>
      <x:c r="F191" s="24" t="str">
        <x:v>Perempuan</x:v>
      </x:c>
      <x:c r="G191" s="24" t="str">
        <x:v>Minat</x:v>
      </x:c>
      <x:c r="H191" s="26" t="n">
        <x:f>Probabilitas!$C$4*INDEX(Probabilitas!$C$10:$C$11,MATCH(D191,Probabilitas!$A$10:$A$11,0))*INDEX(Probabilitas!$C$16:$C$22,MATCH(E191,Probabilitas!$A$16:$A$22,0))*INDEX(Probabilitas!$C$27:$C$28,MATCH(F191,Probabilitas!$A$27:$A$28,0))</x:f>
        <x:v>0.06563515208059607</x:v>
      </x:c>
      <x:c r="I191" s="26" t="n">
        <x:f>Probabilitas!$C$5*INDEX(Probabilitas!$E$10:$E$11,MATCH(D191,Probabilitas!$A$10:$A$11,0))*INDEX(Probabilitas!$E$16:$E$22,MATCH(E191,Probabilitas!$A$16:$A$22,0))*INDEX(Probabilitas!$E$27:$E$28,MATCH(F191,Probabilitas!$A$27:$A$28,0))</x:f>
        <x:v>4.198188761032436e-7</x:v>
      </x:c>
      <x:c r="J191" s="26" t="n">
        <x:f>IFERROR(H191/(H191+I191),0)</x:f>
        <x:v>0.9999936037903844</x:v>
      </x:c>
      <x:c r="K191" s="26" t="n">
        <x:f>IFERROR(I191/(H191+I191),0)</x:f>
        <x:v>0.000006396209615515206</x:v>
      </x:c>
      <x:c r="L191" s="24" t="str">
        <x:f>IF(J191&gt;=K191,"Minat","Tidak minat")</x:f>
        <x:v>Minat</x:v>
      </x:c>
      <x:c r="M191" s="24" t="str">
        <x:f>IF(L191=G191,"Sesuai label latih","Berbeda dari label latih")</x:f>
        <x:v>Sesuai label latih</x:v>
      </x:c>
    </x:row>
    <x:row r="192">
      <x:c r="A192" s="24" t="n">
        <x:v>191</x:v>
      </x:c>
      <x:c r="B192" s="24" t="str">
        <x:v>MP3-P-026</x:v>
      </x:c>
      <x:c r="C192" s="24" t="str">
        <x:v>Siswa MP3 P-026</x:v>
      </x:c>
      <x:c r="D192" s="24" t="str">
        <x:v>MP / Manajemen Perkantoran</x:v>
      </x:c>
      <x:c r="E192" s="24" t="str">
        <x:v>MP 3</x:v>
      </x:c>
      <x:c r="F192" s="24" t="str">
        <x:v>Perempuan</x:v>
      </x:c>
      <x:c r="G192" s="24" t="str">
        <x:v>Minat</x:v>
      </x:c>
      <x:c r="H192" s="26" t="n">
        <x:f>Probabilitas!$C$4*INDEX(Probabilitas!$C$10:$C$11,MATCH(D192,Probabilitas!$A$10:$A$11,0))*INDEX(Probabilitas!$C$16:$C$22,MATCH(E192,Probabilitas!$A$16:$A$22,0))*INDEX(Probabilitas!$C$27:$C$28,MATCH(F192,Probabilitas!$A$27:$A$28,0))</x:f>
        <x:v>0.06563515208059607</x:v>
      </x:c>
      <x:c r="I192" s="26" t="n">
        <x:f>Probabilitas!$C$5*INDEX(Probabilitas!$E$10:$E$11,MATCH(D192,Probabilitas!$A$10:$A$11,0))*INDEX(Probabilitas!$E$16:$E$22,MATCH(E192,Probabilitas!$A$16:$A$22,0))*INDEX(Probabilitas!$E$27:$E$28,MATCH(F192,Probabilitas!$A$27:$A$28,0))</x:f>
        <x:v>4.198188761032436e-7</x:v>
      </x:c>
      <x:c r="J192" s="26" t="n">
        <x:f>IFERROR(H192/(H192+I192),0)</x:f>
        <x:v>0.9999936037903844</x:v>
      </x:c>
      <x:c r="K192" s="26" t="n">
        <x:f>IFERROR(I192/(H192+I192),0)</x:f>
        <x:v>0.000006396209615515206</x:v>
      </x:c>
      <x:c r="L192" s="24" t="str">
        <x:f>IF(J192&gt;=K192,"Minat","Tidak minat")</x:f>
        <x:v>Minat</x:v>
      </x:c>
      <x:c r="M192" s="24" t="str">
        <x:f>IF(L192=G192,"Sesuai label latih","Berbeda dari label latih")</x:f>
        <x:v>Sesuai label latih</x:v>
      </x:c>
    </x:row>
    <x:row r="193">
      <x:c r="A193" s="24" t="n">
        <x:v>192</x:v>
      </x:c>
      <x:c r="B193" s="24" t="str">
        <x:v>MP3-P-027</x:v>
      </x:c>
      <x:c r="C193" s="24" t="str">
        <x:v>Siswa MP3 P-027</x:v>
      </x:c>
      <x:c r="D193" s="24" t="str">
        <x:v>MP / Manajemen Perkantoran</x:v>
      </x:c>
      <x:c r="E193" s="24" t="str">
        <x:v>MP 3</x:v>
      </x:c>
      <x:c r="F193" s="24" t="str">
        <x:v>Perempuan</x:v>
      </x:c>
      <x:c r="G193" s="24" t="str">
        <x:v>Minat</x:v>
      </x:c>
      <x:c r="H193" s="26" t="n">
        <x:f>Probabilitas!$C$4*INDEX(Probabilitas!$C$10:$C$11,MATCH(D193,Probabilitas!$A$10:$A$11,0))*INDEX(Probabilitas!$C$16:$C$22,MATCH(E193,Probabilitas!$A$16:$A$22,0))*INDEX(Probabilitas!$C$27:$C$28,MATCH(F193,Probabilitas!$A$27:$A$28,0))</x:f>
        <x:v>0.06563515208059607</x:v>
      </x:c>
      <x:c r="I193" s="26" t="n">
        <x:f>Probabilitas!$C$5*INDEX(Probabilitas!$E$10:$E$11,MATCH(D193,Probabilitas!$A$10:$A$11,0))*INDEX(Probabilitas!$E$16:$E$22,MATCH(E193,Probabilitas!$A$16:$A$22,0))*INDEX(Probabilitas!$E$27:$E$28,MATCH(F193,Probabilitas!$A$27:$A$28,0))</x:f>
        <x:v>4.198188761032436e-7</x:v>
      </x:c>
      <x:c r="J193" s="26" t="n">
        <x:f>IFERROR(H193/(H193+I193),0)</x:f>
        <x:v>0.9999936037903844</x:v>
      </x:c>
      <x:c r="K193" s="26" t="n">
        <x:f>IFERROR(I193/(H193+I193),0)</x:f>
        <x:v>0.000006396209615515206</x:v>
      </x:c>
      <x:c r="L193" s="24" t="str">
        <x:f>IF(J193&gt;=K193,"Minat","Tidak minat")</x:f>
        <x:v>Minat</x:v>
      </x:c>
      <x:c r="M193" s="24" t="str">
        <x:f>IF(L193=G193,"Sesuai label latih","Berbeda dari label latih")</x:f>
        <x:v>Sesuai label latih</x:v>
      </x:c>
    </x:row>
    <x:row r="194">
      <x:c r="A194" s="24" t="n">
        <x:v>193</x:v>
      </x:c>
      <x:c r="B194" s="24" t="str">
        <x:v>MP3-P-028</x:v>
      </x:c>
      <x:c r="C194" s="24" t="str">
        <x:v>Siswa MP3 P-028</x:v>
      </x:c>
      <x:c r="D194" s="24" t="str">
        <x:v>MP / Manajemen Perkantoran</x:v>
      </x:c>
      <x:c r="E194" s="24" t="str">
        <x:v>MP 3</x:v>
      </x:c>
      <x:c r="F194" s="24" t="str">
        <x:v>Perempuan</x:v>
      </x:c>
      <x:c r="G194" s="24" t="str">
        <x:v>Minat</x:v>
      </x:c>
      <x:c r="H194" s="26" t="n">
        <x:f>Probabilitas!$C$4*INDEX(Probabilitas!$C$10:$C$11,MATCH(D194,Probabilitas!$A$10:$A$11,0))*INDEX(Probabilitas!$C$16:$C$22,MATCH(E194,Probabilitas!$A$16:$A$22,0))*INDEX(Probabilitas!$C$27:$C$28,MATCH(F194,Probabilitas!$A$27:$A$28,0))</x:f>
        <x:v>0.06563515208059607</x:v>
      </x:c>
      <x:c r="I194" s="26" t="n">
        <x:f>Probabilitas!$C$5*INDEX(Probabilitas!$E$10:$E$11,MATCH(D194,Probabilitas!$A$10:$A$11,0))*INDEX(Probabilitas!$E$16:$E$22,MATCH(E194,Probabilitas!$A$16:$A$22,0))*INDEX(Probabilitas!$E$27:$E$28,MATCH(F194,Probabilitas!$A$27:$A$28,0))</x:f>
        <x:v>4.198188761032436e-7</x:v>
      </x:c>
      <x:c r="J194" s="26" t="n">
        <x:f>IFERROR(H194/(H194+I194),0)</x:f>
        <x:v>0.9999936037903844</x:v>
      </x:c>
      <x:c r="K194" s="26" t="n">
        <x:f>IFERROR(I194/(H194+I194),0)</x:f>
        <x:v>0.000006396209615515206</x:v>
      </x:c>
      <x:c r="L194" s="24" t="str">
        <x:f>IF(J194&gt;=K194,"Minat","Tidak minat")</x:f>
        <x:v>Minat</x:v>
      </x:c>
      <x:c r="M194" s="24" t="str">
        <x:f>IF(L194=G194,"Sesuai label latih","Berbeda dari label latih")</x:f>
        <x:v>Sesuai label latih</x:v>
      </x:c>
    </x:row>
    <x:row r="195">
      <x:c r="A195" s="24" t="n">
        <x:v>194</x:v>
      </x:c>
      <x:c r="B195" s="24" t="str">
        <x:v>MP3-P-029</x:v>
      </x:c>
      <x:c r="C195" s="24" t="str">
        <x:v>Siswa MP3 P-029</x:v>
      </x:c>
      <x:c r="D195" s="24" t="str">
        <x:v>MP / Manajemen Perkantoran</x:v>
      </x:c>
      <x:c r="E195" s="24" t="str">
        <x:v>MP 3</x:v>
      </x:c>
      <x:c r="F195" s="24" t="str">
        <x:v>Perempuan</x:v>
      </x:c>
      <x:c r="G195" s="24" t="str">
        <x:v>Minat</x:v>
      </x:c>
      <x:c r="H195" s="26" t="n">
        <x:f>Probabilitas!$C$4*INDEX(Probabilitas!$C$10:$C$11,MATCH(D195,Probabilitas!$A$10:$A$11,0))*INDEX(Probabilitas!$C$16:$C$22,MATCH(E195,Probabilitas!$A$16:$A$22,0))*INDEX(Probabilitas!$C$27:$C$28,MATCH(F195,Probabilitas!$A$27:$A$28,0))</x:f>
        <x:v>0.06563515208059607</x:v>
      </x:c>
      <x:c r="I195" s="26" t="n">
        <x:f>Probabilitas!$C$5*INDEX(Probabilitas!$E$10:$E$11,MATCH(D195,Probabilitas!$A$10:$A$11,0))*INDEX(Probabilitas!$E$16:$E$22,MATCH(E195,Probabilitas!$A$16:$A$22,0))*INDEX(Probabilitas!$E$27:$E$28,MATCH(F195,Probabilitas!$A$27:$A$28,0))</x:f>
        <x:v>4.198188761032436e-7</x:v>
      </x:c>
      <x:c r="J195" s="26" t="n">
        <x:f>IFERROR(H195/(H195+I195),0)</x:f>
        <x:v>0.9999936037903844</x:v>
      </x:c>
      <x:c r="K195" s="26" t="n">
        <x:f>IFERROR(I195/(H195+I195),0)</x:f>
        <x:v>0.000006396209615515206</x:v>
      </x:c>
      <x:c r="L195" s="24" t="str">
        <x:f>IF(J195&gt;=K195,"Minat","Tidak minat")</x:f>
        <x:v>Minat</x:v>
      </x:c>
      <x:c r="M195" s="24" t="str">
        <x:f>IF(L195=G195,"Sesuai label latih","Berbeda dari label latih")</x:f>
        <x:v>Sesuai label latih</x:v>
      </x:c>
    </x:row>
    <x:row r="196">
      <x:c r="A196" s="24" t="n">
        <x:v>195</x:v>
      </x:c>
      <x:c r="B196" s="24" t="str">
        <x:v>MP3-P-030</x:v>
      </x:c>
      <x:c r="C196" s="24" t="str">
        <x:v>Siswa MP3 P-030</x:v>
      </x:c>
      <x:c r="D196" s="24" t="str">
        <x:v>MP / Manajemen Perkantoran</x:v>
      </x:c>
      <x:c r="E196" s="24" t="str">
        <x:v>MP 3</x:v>
      </x:c>
      <x:c r="F196" s="24" t="str">
        <x:v>Perempuan</x:v>
      </x:c>
      <x:c r="G196" s="24" t="str">
        <x:v>Minat</x:v>
      </x:c>
      <x:c r="H196" s="26" t="n">
        <x:f>Probabilitas!$C$4*INDEX(Probabilitas!$C$10:$C$11,MATCH(D196,Probabilitas!$A$10:$A$11,0))*INDEX(Probabilitas!$C$16:$C$22,MATCH(E196,Probabilitas!$A$16:$A$22,0))*INDEX(Probabilitas!$C$27:$C$28,MATCH(F196,Probabilitas!$A$27:$A$28,0))</x:f>
        <x:v>0.06563515208059607</x:v>
      </x:c>
      <x:c r="I196" s="26" t="n">
        <x:f>Probabilitas!$C$5*INDEX(Probabilitas!$E$10:$E$11,MATCH(D196,Probabilitas!$A$10:$A$11,0))*INDEX(Probabilitas!$E$16:$E$22,MATCH(E196,Probabilitas!$A$16:$A$22,0))*INDEX(Probabilitas!$E$27:$E$28,MATCH(F196,Probabilitas!$A$27:$A$28,0))</x:f>
        <x:v>4.198188761032436e-7</x:v>
      </x:c>
      <x:c r="J196" s="26" t="n">
        <x:f>IFERROR(H196/(H196+I196),0)</x:f>
        <x:v>0.9999936037903844</x:v>
      </x:c>
      <x:c r="K196" s="26" t="n">
        <x:f>IFERROR(I196/(H196+I196),0)</x:f>
        <x:v>0.000006396209615515206</x:v>
      </x:c>
      <x:c r="L196" s="24" t="str">
        <x:f>IF(J196&gt;=K196,"Minat","Tidak minat")</x:f>
        <x:v>Minat</x:v>
      </x:c>
      <x:c r="M196" s="24" t="str">
        <x:f>IF(L196=G196,"Sesuai label latih","Berbeda dari label latih")</x:f>
        <x:v>Sesuai label latih</x:v>
      </x:c>
    </x:row>
    <x:row r="197">
      <x:c r="A197" s="24" t="n">
        <x:v>196</x:v>
      </x:c>
      <x:c r="B197" s="24" t="str">
        <x:v>MP3-P-031</x:v>
      </x:c>
      <x:c r="C197" s="24" t="str">
        <x:v>Siswa MP3 P-031</x:v>
      </x:c>
      <x:c r="D197" s="24" t="str">
        <x:v>MP / Manajemen Perkantoran</x:v>
      </x:c>
      <x:c r="E197" s="24" t="str">
        <x:v>MP 3</x:v>
      </x:c>
      <x:c r="F197" s="24" t="str">
        <x:v>Perempuan</x:v>
      </x:c>
      <x:c r="G197" s="24" t="str">
        <x:v>Minat</x:v>
      </x:c>
      <x:c r="H197" s="26" t="n">
        <x:f>Probabilitas!$C$4*INDEX(Probabilitas!$C$10:$C$11,MATCH(D197,Probabilitas!$A$10:$A$11,0))*INDEX(Probabilitas!$C$16:$C$22,MATCH(E197,Probabilitas!$A$16:$A$22,0))*INDEX(Probabilitas!$C$27:$C$28,MATCH(F197,Probabilitas!$A$27:$A$28,0))</x:f>
        <x:v>0.06563515208059607</x:v>
      </x:c>
      <x:c r="I197" s="26" t="n">
        <x:f>Probabilitas!$C$5*INDEX(Probabilitas!$E$10:$E$11,MATCH(D197,Probabilitas!$A$10:$A$11,0))*INDEX(Probabilitas!$E$16:$E$22,MATCH(E197,Probabilitas!$A$16:$A$22,0))*INDEX(Probabilitas!$E$27:$E$28,MATCH(F197,Probabilitas!$A$27:$A$28,0))</x:f>
        <x:v>4.198188761032436e-7</x:v>
      </x:c>
      <x:c r="J197" s="26" t="n">
        <x:f>IFERROR(H197/(H197+I197),0)</x:f>
        <x:v>0.9999936037903844</x:v>
      </x:c>
      <x:c r="K197" s="26" t="n">
        <x:f>IFERROR(I197/(H197+I197),0)</x:f>
        <x:v>0.000006396209615515206</x:v>
      </x:c>
      <x:c r="L197" s="24" t="str">
        <x:f>IF(J197&gt;=K197,"Minat","Tidak minat")</x:f>
        <x:v>Minat</x:v>
      </x:c>
      <x:c r="M197" s="24" t="str">
        <x:f>IF(L197=G197,"Sesuai label latih","Berbeda dari label latih")</x:f>
        <x:v>Sesuai label latih</x:v>
      </x:c>
    </x:row>
    <x:row r="198">
      <x:c r="A198" s="24" t="n">
        <x:v>197</x:v>
      </x:c>
      <x:c r="B198" s="24" t="str">
        <x:v>MP3-P-032</x:v>
      </x:c>
      <x:c r="C198" s="24" t="str">
        <x:v>Siswa MP3 P-032</x:v>
      </x:c>
      <x:c r="D198" s="24" t="str">
        <x:v>MP / Manajemen Perkantoran</x:v>
      </x:c>
      <x:c r="E198" s="24" t="str">
        <x:v>MP 3</x:v>
      </x:c>
      <x:c r="F198" s="24" t="str">
        <x:v>Perempuan</x:v>
      </x:c>
      <x:c r="G198" s="24" t="str">
        <x:v>Minat</x:v>
      </x:c>
      <x:c r="H198" s="26" t="n">
        <x:f>Probabilitas!$C$4*INDEX(Probabilitas!$C$10:$C$11,MATCH(D198,Probabilitas!$A$10:$A$11,0))*INDEX(Probabilitas!$C$16:$C$22,MATCH(E198,Probabilitas!$A$16:$A$22,0))*INDEX(Probabilitas!$C$27:$C$28,MATCH(F198,Probabilitas!$A$27:$A$28,0))</x:f>
        <x:v>0.06563515208059607</x:v>
      </x:c>
      <x:c r="I198" s="26" t="n">
        <x:f>Probabilitas!$C$5*INDEX(Probabilitas!$E$10:$E$11,MATCH(D198,Probabilitas!$A$10:$A$11,0))*INDEX(Probabilitas!$E$16:$E$22,MATCH(E198,Probabilitas!$A$16:$A$22,0))*INDEX(Probabilitas!$E$27:$E$28,MATCH(F198,Probabilitas!$A$27:$A$28,0))</x:f>
        <x:v>4.198188761032436e-7</x:v>
      </x:c>
      <x:c r="J198" s="26" t="n">
        <x:f>IFERROR(H198/(H198+I198),0)</x:f>
        <x:v>0.9999936037903844</x:v>
      </x:c>
      <x:c r="K198" s="26" t="n">
        <x:f>IFERROR(I198/(H198+I198),0)</x:f>
        <x:v>0.000006396209615515206</x:v>
      </x:c>
      <x:c r="L198" s="24" t="str">
        <x:f>IF(J198&gt;=K198,"Minat","Tidak minat")</x:f>
        <x:v>Minat</x:v>
      </x:c>
      <x:c r="M198" s="24" t="str">
        <x:f>IF(L198=G198,"Sesuai label latih","Berbeda dari label latih")</x:f>
        <x:v>Sesuai label latih</x:v>
      </x:c>
    </x:row>
    <x:row r="199">
      <x:c r="A199" s="24" t="n">
        <x:v>198</x:v>
      </x:c>
      <x:c r="B199" s="24" t="str">
        <x:v>MP3-P-033</x:v>
      </x:c>
      <x:c r="C199" s="24" t="str">
        <x:v>Siswa MP3 P-033</x:v>
      </x:c>
      <x:c r="D199" s="24" t="str">
        <x:v>MP / Manajemen Perkantoran</x:v>
      </x:c>
      <x:c r="E199" s="24" t="str">
        <x:v>MP 3</x:v>
      </x:c>
      <x:c r="F199" s="24" t="str">
        <x:v>Perempuan</x:v>
      </x:c>
      <x:c r="G199" s="24" t="str">
        <x:v>Minat</x:v>
      </x:c>
      <x:c r="H199" s="26" t="n">
        <x:f>Probabilitas!$C$4*INDEX(Probabilitas!$C$10:$C$11,MATCH(D199,Probabilitas!$A$10:$A$11,0))*INDEX(Probabilitas!$C$16:$C$22,MATCH(E199,Probabilitas!$A$16:$A$22,0))*INDEX(Probabilitas!$C$27:$C$28,MATCH(F199,Probabilitas!$A$27:$A$28,0))</x:f>
        <x:v>0.06563515208059607</x:v>
      </x:c>
      <x:c r="I199" s="26" t="n">
        <x:f>Probabilitas!$C$5*INDEX(Probabilitas!$E$10:$E$11,MATCH(D199,Probabilitas!$A$10:$A$11,0))*INDEX(Probabilitas!$E$16:$E$22,MATCH(E199,Probabilitas!$A$16:$A$22,0))*INDEX(Probabilitas!$E$27:$E$28,MATCH(F199,Probabilitas!$A$27:$A$28,0))</x:f>
        <x:v>4.198188761032436e-7</x:v>
      </x:c>
      <x:c r="J199" s="26" t="n">
        <x:f>IFERROR(H199/(H199+I199),0)</x:f>
        <x:v>0.9999936037903844</x:v>
      </x:c>
      <x:c r="K199" s="26" t="n">
        <x:f>IFERROR(I199/(H199+I199),0)</x:f>
        <x:v>0.000006396209615515206</x:v>
      </x:c>
      <x:c r="L199" s="24" t="str">
        <x:f>IF(J199&gt;=K199,"Minat","Tidak minat")</x:f>
        <x:v>Minat</x:v>
      </x:c>
      <x:c r="M199" s="24" t="str">
        <x:f>IF(L199=G199,"Sesuai label latih","Berbeda dari label latih")</x:f>
        <x:v>Sesuai label latih</x:v>
      </x:c>
    </x:row>
    <x:row r="200">
      <x:c r="A200" s="24" t="n">
        <x:v>199</x:v>
      </x:c>
      <x:c r="B200" s="24" t="str">
        <x:v>MP3-P-034</x:v>
      </x:c>
      <x:c r="C200" s="24" t="str">
        <x:v>Siswa MP3 P-034</x:v>
      </x:c>
      <x:c r="D200" s="24" t="str">
        <x:v>MP / Manajemen Perkantoran</x:v>
      </x:c>
      <x:c r="E200" s="24" t="str">
        <x:v>MP 3</x:v>
      </x:c>
      <x:c r="F200" s="24" t="str">
        <x:v>Perempuan</x:v>
      </x:c>
      <x:c r="G200" s="24" t="str">
        <x:v>Minat</x:v>
      </x:c>
      <x:c r="H200" s="26" t="n">
        <x:f>Probabilitas!$C$4*INDEX(Probabilitas!$C$10:$C$11,MATCH(D200,Probabilitas!$A$10:$A$11,0))*INDEX(Probabilitas!$C$16:$C$22,MATCH(E200,Probabilitas!$A$16:$A$22,0))*INDEX(Probabilitas!$C$27:$C$28,MATCH(F200,Probabilitas!$A$27:$A$28,0))</x:f>
        <x:v>0.06563515208059607</x:v>
      </x:c>
      <x:c r="I200" s="26" t="n">
        <x:f>Probabilitas!$C$5*INDEX(Probabilitas!$E$10:$E$11,MATCH(D200,Probabilitas!$A$10:$A$11,0))*INDEX(Probabilitas!$E$16:$E$22,MATCH(E200,Probabilitas!$A$16:$A$22,0))*INDEX(Probabilitas!$E$27:$E$28,MATCH(F200,Probabilitas!$A$27:$A$28,0))</x:f>
        <x:v>4.198188761032436e-7</x:v>
      </x:c>
      <x:c r="J200" s="26" t="n">
        <x:f>IFERROR(H200/(H200+I200),0)</x:f>
        <x:v>0.9999936037903844</x:v>
      </x:c>
      <x:c r="K200" s="26" t="n">
        <x:f>IFERROR(I200/(H200+I200),0)</x:f>
        <x:v>0.000006396209615515206</x:v>
      </x:c>
      <x:c r="L200" s="24" t="str">
        <x:f>IF(J200&gt;=K200,"Minat","Tidak minat")</x:f>
        <x:v>Minat</x:v>
      </x:c>
      <x:c r="M200" s="24" t="str">
        <x:f>IF(L200=G200,"Sesuai label latih","Berbeda dari label latih")</x:f>
        <x:v>Sesuai label latih</x:v>
      </x:c>
    </x:row>
    <x:row r="201">
      <x:c r="A201" s="24" t="n">
        <x:v>200</x:v>
      </x:c>
      <x:c r="B201" s="24" t="str">
        <x:v>MP3-P-035</x:v>
      </x:c>
      <x:c r="C201" s="24" t="str">
        <x:v>Siswa MP3 P-035</x:v>
      </x:c>
      <x:c r="D201" s="24" t="str">
        <x:v>MP / Manajemen Perkantoran</x:v>
      </x:c>
      <x:c r="E201" s="24" t="str">
        <x:v>MP 3</x:v>
      </x:c>
      <x:c r="F201" s="24" t="str">
        <x:v>Perempuan</x:v>
      </x:c>
      <x:c r="G201" s="24" t="str">
        <x:v>Minat</x:v>
      </x:c>
      <x:c r="H201" s="26" t="n">
        <x:f>Probabilitas!$C$4*INDEX(Probabilitas!$C$10:$C$11,MATCH(D201,Probabilitas!$A$10:$A$11,0))*INDEX(Probabilitas!$C$16:$C$22,MATCH(E201,Probabilitas!$A$16:$A$22,0))*INDEX(Probabilitas!$C$27:$C$28,MATCH(F201,Probabilitas!$A$27:$A$28,0))</x:f>
        <x:v>0.06563515208059607</x:v>
      </x:c>
      <x:c r="I201" s="26" t="n">
        <x:f>Probabilitas!$C$5*INDEX(Probabilitas!$E$10:$E$11,MATCH(D201,Probabilitas!$A$10:$A$11,0))*INDEX(Probabilitas!$E$16:$E$22,MATCH(E201,Probabilitas!$A$16:$A$22,0))*INDEX(Probabilitas!$E$27:$E$28,MATCH(F201,Probabilitas!$A$27:$A$28,0))</x:f>
        <x:v>4.198188761032436e-7</x:v>
      </x:c>
      <x:c r="J201" s="26" t="n">
        <x:f>IFERROR(H201/(H201+I201),0)</x:f>
        <x:v>0.9999936037903844</x:v>
      </x:c>
      <x:c r="K201" s="26" t="n">
        <x:f>IFERROR(I201/(H201+I201),0)</x:f>
        <x:v>0.000006396209615515206</x:v>
      </x:c>
      <x:c r="L201" s="24" t="str">
        <x:f>IF(J201&gt;=K201,"Minat","Tidak minat")</x:f>
        <x:v>Minat</x:v>
      </x:c>
      <x:c r="M201" s="24" t="str">
        <x:f>IF(L201=G201,"Sesuai label latih","Berbeda dari label latih")</x:f>
        <x:v>Sesuai label latih</x:v>
      </x:c>
    </x:row>
    <x:row r="202">
      <x:c r="A202" s="24" t="n">
        <x:v>201</x:v>
      </x:c>
      <x:c r="B202" s="24" t="str">
        <x:v>MP3-P-036</x:v>
      </x:c>
      <x:c r="C202" s="24" t="str">
        <x:v>Siswa MP3 P-036</x:v>
      </x:c>
      <x:c r="D202" s="24" t="str">
        <x:v>MP / Manajemen Perkantoran</x:v>
      </x:c>
      <x:c r="E202" s="24" t="str">
        <x:v>MP 3</x:v>
      </x:c>
      <x:c r="F202" s="24" t="str">
        <x:v>Perempuan</x:v>
      </x:c>
      <x:c r="G202" s="24" t="str">
        <x:v>Minat</x:v>
      </x:c>
      <x:c r="H202" s="26" t="n">
        <x:f>Probabilitas!$C$4*INDEX(Probabilitas!$C$10:$C$11,MATCH(D202,Probabilitas!$A$10:$A$11,0))*INDEX(Probabilitas!$C$16:$C$22,MATCH(E202,Probabilitas!$A$16:$A$22,0))*INDEX(Probabilitas!$C$27:$C$28,MATCH(F202,Probabilitas!$A$27:$A$28,0))</x:f>
        <x:v>0.06563515208059607</x:v>
      </x:c>
      <x:c r="I202" s="26" t="n">
        <x:f>Probabilitas!$C$5*INDEX(Probabilitas!$E$10:$E$11,MATCH(D202,Probabilitas!$A$10:$A$11,0))*INDEX(Probabilitas!$E$16:$E$22,MATCH(E202,Probabilitas!$A$16:$A$22,0))*INDEX(Probabilitas!$E$27:$E$28,MATCH(F202,Probabilitas!$A$27:$A$28,0))</x:f>
        <x:v>4.198188761032436e-7</x:v>
      </x:c>
      <x:c r="J202" s="26" t="n">
        <x:f>IFERROR(H202/(H202+I202),0)</x:f>
        <x:v>0.9999936037903844</x:v>
      </x:c>
      <x:c r="K202" s="26" t="n">
        <x:f>IFERROR(I202/(H202+I202),0)</x:f>
        <x:v>0.000006396209615515206</x:v>
      </x:c>
      <x:c r="L202" s="24" t="str">
        <x:f>IF(J202&gt;=K202,"Minat","Tidak minat")</x:f>
        <x:v>Minat</x:v>
      </x:c>
      <x:c r="M202" s="24" t="str">
        <x:f>IF(L202=G202,"Sesuai label latih","Berbeda dari label latih")</x:f>
        <x:v>Sesuai label latih</x:v>
      </x:c>
    </x:row>
    <x:row r="203">
      <x:c r="A203" s="24" t="n">
        <x:v>202</x:v>
      </x:c>
      <x:c r="B203" s="24" t="str">
        <x:v>MP3-P-037</x:v>
      </x:c>
      <x:c r="C203" s="24" t="str">
        <x:v>Siswa MP3 P-037</x:v>
      </x:c>
      <x:c r="D203" s="24" t="str">
        <x:v>MP / Manajemen Perkantoran</x:v>
      </x:c>
      <x:c r="E203" s="24" t="str">
        <x:v>MP 3</x:v>
      </x:c>
      <x:c r="F203" s="24" t="str">
        <x:v>Perempuan</x:v>
      </x:c>
      <x:c r="G203" s="24" t="str">
        <x:v>Minat</x:v>
      </x:c>
      <x:c r="H203" s="26" t="n">
        <x:f>Probabilitas!$C$4*INDEX(Probabilitas!$C$10:$C$11,MATCH(D203,Probabilitas!$A$10:$A$11,0))*INDEX(Probabilitas!$C$16:$C$22,MATCH(E203,Probabilitas!$A$16:$A$22,0))*INDEX(Probabilitas!$C$27:$C$28,MATCH(F203,Probabilitas!$A$27:$A$28,0))</x:f>
        <x:v>0.06563515208059607</x:v>
      </x:c>
      <x:c r="I203" s="26" t="n">
        <x:f>Probabilitas!$C$5*INDEX(Probabilitas!$E$10:$E$11,MATCH(D203,Probabilitas!$A$10:$A$11,0))*INDEX(Probabilitas!$E$16:$E$22,MATCH(E203,Probabilitas!$A$16:$A$22,0))*INDEX(Probabilitas!$E$27:$E$28,MATCH(F203,Probabilitas!$A$27:$A$28,0))</x:f>
        <x:v>4.198188761032436e-7</x:v>
      </x:c>
      <x:c r="J203" s="26" t="n">
        <x:f>IFERROR(H203/(H203+I203),0)</x:f>
        <x:v>0.9999936037903844</x:v>
      </x:c>
      <x:c r="K203" s="26" t="n">
        <x:f>IFERROR(I203/(H203+I203),0)</x:f>
        <x:v>0.000006396209615515206</x:v>
      </x:c>
      <x:c r="L203" s="24" t="str">
        <x:f>IF(J203&gt;=K203,"Minat","Tidak minat")</x:f>
        <x:v>Minat</x:v>
      </x:c>
      <x:c r="M203" s="24" t="str">
        <x:f>IF(L203=G203,"Sesuai label latih","Berbeda dari label latih")</x:f>
        <x:v>Sesuai label latih</x:v>
      </x:c>
    </x:row>
    <x:row r="204">
      <x:c r="A204" s="24" t="n">
        <x:v>203</x:v>
      </x:c>
      <x:c r="B204" s="24" t="str">
        <x:v>MP3-P-038</x:v>
      </x:c>
      <x:c r="C204" s="24" t="str">
        <x:v>Siswa MP3 P-038</x:v>
      </x:c>
      <x:c r="D204" s="24" t="str">
        <x:v>MP / Manajemen Perkantoran</x:v>
      </x:c>
      <x:c r="E204" s="24" t="str">
        <x:v>MP 3</x:v>
      </x:c>
      <x:c r="F204" s="24" t="str">
        <x:v>Perempuan</x:v>
      </x:c>
      <x:c r="G204" s="24" t="str">
        <x:v>Minat</x:v>
      </x:c>
      <x:c r="H204" s="26" t="n">
        <x:f>Probabilitas!$C$4*INDEX(Probabilitas!$C$10:$C$11,MATCH(D204,Probabilitas!$A$10:$A$11,0))*INDEX(Probabilitas!$C$16:$C$22,MATCH(E204,Probabilitas!$A$16:$A$22,0))*INDEX(Probabilitas!$C$27:$C$28,MATCH(F204,Probabilitas!$A$27:$A$28,0))</x:f>
        <x:v>0.06563515208059607</x:v>
      </x:c>
      <x:c r="I204" s="26" t="n">
        <x:f>Probabilitas!$C$5*INDEX(Probabilitas!$E$10:$E$11,MATCH(D204,Probabilitas!$A$10:$A$11,0))*INDEX(Probabilitas!$E$16:$E$22,MATCH(E204,Probabilitas!$A$16:$A$22,0))*INDEX(Probabilitas!$E$27:$E$28,MATCH(F204,Probabilitas!$A$27:$A$28,0))</x:f>
        <x:v>4.198188761032436e-7</x:v>
      </x:c>
      <x:c r="J204" s="26" t="n">
        <x:f>IFERROR(H204/(H204+I204),0)</x:f>
        <x:v>0.9999936037903844</x:v>
      </x:c>
      <x:c r="K204" s="26" t="n">
        <x:f>IFERROR(I204/(H204+I204),0)</x:f>
        <x:v>0.000006396209615515206</x:v>
      </x:c>
      <x:c r="L204" s="24" t="str">
        <x:f>IF(J204&gt;=K204,"Minat","Tidak minat")</x:f>
        <x:v>Minat</x:v>
      </x:c>
      <x:c r="M204" s="24" t="str">
        <x:f>IF(L204=G204,"Sesuai label latih","Berbeda dari label latih")</x:f>
        <x:v>Sesuai label latih</x:v>
      </x:c>
    </x:row>
    <x:row r="205">
      <x:c r="A205" s="24" t="n">
        <x:v>204</x:v>
      </x:c>
      <x:c r="B205" s="24" t="str">
        <x:v>TSM1-L-001</x:v>
      </x:c>
      <x:c r="C205" s="24" t="str">
        <x:v>Siswa TSM1 L-001</x:v>
      </x:c>
      <x:c r="D205" s="24" t="str">
        <x:v>TSM / Teknik Sepeda Motor</x:v>
      </x:c>
      <x:c r="E205" s="24" t="str">
        <x:v>TSM 1</x:v>
      </x:c>
      <x:c r="F205" s="24" t="str">
        <x:v>Laki-laki</x:v>
      </x:c>
      <x:c r="G205" s="24" t="str">
        <x:v>Tidak minat</x:v>
      </x:c>
      <x:c r="H205" s="26" t="n">
        <x:f>Probabilitas!$C$4*INDEX(Probabilitas!$C$10:$C$11,MATCH(D205,Probabilitas!$A$10:$A$11,0))*INDEX(Probabilitas!$C$16:$C$22,MATCH(E205,Probabilitas!$A$16:$A$22,0))*INDEX(Probabilitas!$C$27:$C$28,MATCH(F205,Probabilitas!$A$27:$A$28,0))</x:f>
        <x:v>0.0000043025662753556825</x:v>
      </x:c>
      <x:c r="I205" s="26" t="n">
        <x:f>Probabilitas!$C$5*INDEX(Probabilitas!$E$10:$E$11,MATCH(D205,Probabilitas!$A$10:$A$11,0))*INDEX(Probabilitas!$E$16:$E$22,MATCH(E205,Probabilitas!$A$16:$A$22,0))*INDEX(Probabilitas!$E$27:$E$28,MATCH(F205,Probabilitas!$A$27:$A$28,0))</x:f>
        <x:v>0.14973050125660237</x:v>
      </x:c>
      <x:c r="J205" s="26" t="n">
        <x:f>IFERROR(H205/(H205+I205),0)</x:f>
        <x:v>0.00002873457716914777</x:v>
      </x:c>
      <x:c r="K205" s="26" t="n">
        <x:f>IFERROR(I205/(H205+I205),0)</x:f>
        <x:v>0.9999712654228309</x:v>
      </x:c>
      <x:c r="L205" s="24" t="str">
        <x:f>IF(J205&gt;=K205,"Minat","Tidak minat")</x:f>
        <x:v>Tidak minat</x:v>
      </x:c>
      <x:c r="M205" s="24" t="str">
        <x:f>IF(L205=G205,"Sesuai label latih","Berbeda dari label latih")</x:f>
        <x:v>Sesuai label latih</x:v>
      </x:c>
    </x:row>
    <x:row r="206">
      <x:c r="A206" s="24" t="n">
        <x:v>205</x:v>
      </x:c>
      <x:c r="B206" s="24" t="str">
        <x:v>TSM1-L-002</x:v>
      </x:c>
      <x:c r="C206" s="24" t="str">
        <x:v>Siswa TSM1 L-002</x:v>
      </x:c>
      <x:c r="D206" s="24" t="str">
        <x:v>TSM / Teknik Sepeda Motor</x:v>
      </x:c>
      <x:c r="E206" s="24" t="str">
        <x:v>TSM 1</x:v>
      </x:c>
      <x:c r="F206" s="24" t="str">
        <x:v>Laki-laki</x:v>
      </x:c>
      <x:c r="G206" s="24" t="str">
        <x:v>Tidak minat</x:v>
      </x:c>
      <x:c r="H206" s="26" t="n">
        <x:f>Probabilitas!$C$4*INDEX(Probabilitas!$C$10:$C$11,MATCH(D206,Probabilitas!$A$10:$A$11,0))*INDEX(Probabilitas!$C$16:$C$22,MATCH(E206,Probabilitas!$A$16:$A$22,0))*INDEX(Probabilitas!$C$27:$C$28,MATCH(F206,Probabilitas!$A$27:$A$28,0))</x:f>
        <x:v>0.0000043025662753556825</x:v>
      </x:c>
      <x:c r="I206" s="26" t="n">
        <x:f>Probabilitas!$C$5*INDEX(Probabilitas!$E$10:$E$11,MATCH(D206,Probabilitas!$A$10:$A$11,0))*INDEX(Probabilitas!$E$16:$E$22,MATCH(E206,Probabilitas!$A$16:$A$22,0))*INDEX(Probabilitas!$E$27:$E$28,MATCH(F206,Probabilitas!$A$27:$A$28,0))</x:f>
        <x:v>0.14973050125660237</x:v>
      </x:c>
      <x:c r="J206" s="26" t="n">
        <x:f>IFERROR(H206/(H206+I206),0)</x:f>
        <x:v>0.00002873457716914777</x:v>
      </x:c>
      <x:c r="K206" s="26" t="n">
        <x:f>IFERROR(I206/(H206+I206),0)</x:f>
        <x:v>0.9999712654228309</x:v>
      </x:c>
      <x:c r="L206" s="24" t="str">
        <x:f>IF(J206&gt;=K206,"Minat","Tidak minat")</x:f>
        <x:v>Tidak minat</x:v>
      </x:c>
      <x:c r="M206" s="24" t="str">
        <x:f>IF(L206=G206,"Sesuai label latih","Berbeda dari label latih")</x:f>
        <x:v>Sesuai label latih</x:v>
      </x:c>
    </x:row>
    <x:row r="207">
      <x:c r="A207" s="24" t="n">
        <x:v>206</x:v>
      </x:c>
      <x:c r="B207" s="24" t="str">
        <x:v>TSM1-L-003</x:v>
      </x:c>
      <x:c r="C207" s="24" t="str">
        <x:v>Siswa TSM1 L-003</x:v>
      </x:c>
      <x:c r="D207" s="24" t="str">
        <x:v>TSM / Teknik Sepeda Motor</x:v>
      </x:c>
      <x:c r="E207" s="24" t="str">
        <x:v>TSM 1</x:v>
      </x:c>
      <x:c r="F207" s="24" t="str">
        <x:v>Laki-laki</x:v>
      </x:c>
      <x:c r="G207" s="24" t="str">
        <x:v>Tidak minat</x:v>
      </x:c>
      <x:c r="H207" s="26" t="n">
        <x:f>Probabilitas!$C$4*INDEX(Probabilitas!$C$10:$C$11,MATCH(D207,Probabilitas!$A$10:$A$11,0))*INDEX(Probabilitas!$C$16:$C$22,MATCH(E207,Probabilitas!$A$16:$A$22,0))*INDEX(Probabilitas!$C$27:$C$28,MATCH(F207,Probabilitas!$A$27:$A$28,0))</x:f>
        <x:v>0.0000043025662753556825</x:v>
      </x:c>
      <x:c r="I207" s="26" t="n">
        <x:f>Probabilitas!$C$5*INDEX(Probabilitas!$E$10:$E$11,MATCH(D207,Probabilitas!$A$10:$A$11,0))*INDEX(Probabilitas!$E$16:$E$22,MATCH(E207,Probabilitas!$A$16:$A$22,0))*INDEX(Probabilitas!$E$27:$E$28,MATCH(F207,Probabilitas!$A$27:$A$28,0))</x:f>
        <x:v>0.14973050125660237</x:v>
      </x:c>
      <x:c r="J207" s="26" t="n">
        <x:f>IFERROR(H207/(H207+I207),0)</x:f>
        <x:v>0.00002873457716914777</x:v>
      </x:c>
      <x:c r="K207" s="26" t="n">
        <x:f>IFERROR(I207/(H207+I207),0)</x:f>
        <x:v>0.9999712654228309</x:v>
      </x:c>
      <x:c r="L207" s="24" t="str">
        <x:f>IF(J207&gt;=K207,"Minat","Tidak minat")</x:f>
        <x:v>Tidak minat</x:v>
      </x:c>
      <x:c r="M207" s="24" t="str">
        <x:f>IF(L207=G207,"Sesuai label latih","Berbeda dari label latih")</x:f>
        <x:v>Sesuai label latih</x:v>
      </x:c>
    </x:row>
    <x:row r="208">
      <x:c r="A208" s="24" t="n">
        <x:v>207</x:v>
      </x:c>
      <x:c r="B208" s="24" t="str">
        <x:v>TSM1-L-004</x:v>
      </x:c>
      <x:c r="C208" s="24" t="str">
        <x:v>Siswa TSM1 L-004</x:v>
      </x:c>
      <x:c r="D208" s="24" t="str">
        <x:v>TSM / Teknik Sepeda Motor</x:v>
      </x:c>
      <x:c r="E208" s="24" t="str">
        <x:v>TSM 1</x:v>
      </x:c>
      <x:c r="F208" s="24" t="str">
        <x:v>Laki-laki</x:v>
      </x:c>
      <x:c r="G208" s="24" t="str">
        <x:v>Tidak minat</x:v>
      </x:c>
      <x:c r="H208" s="26" t="n">
        <x:f>Probabilitas!$C$4*INDEX(Probabilitas!$C$10:$C$11,MATCH(D208,Probabilitas!$A$10:$A$11,0))*INDEX(Probabilitas!$C$16:$C$22,MATCH(E208,Probabilitas!$A$16:$A$22,0))*INDEX(Probabilitas!$C$27:$C$28,MATCH(F208,Probabilitas!$A$27:$A$28,0))</x:f>
        <x:v>0.0000043025662753556825</x:v>
      </x:c>
      <x:c r="I208" s="26" t="n">
        <x:f>Probabilitas!$C$5*INDEX(Probabilitas!$E$10:$E$11,MATCH(D208,Probabilitas!$A$10:$A$11,0))*INDEX(Probabilitas!$E$16:$E$22,MATCH(E208,Probabilitas!$A$16:$A$22,0))*INDEX(Probabilitas!$E$27:$E$28,MATCH(F208,Probabilitas!$A$27:$A$28,0))</x:f>
        <x:v>0.14973050125660237</x:v>
      </x:c>
      <x:c r="J208" s="26" t="n">
        <x:f>IFERROR(H208/(H208+I208),0)</x:f>
        <x:v>0.00002873457716914777</x:v>
      </x:c>
      <x:c r="K208" s="26" t="n">
        <x:f>IFERROR(I208/(H208+I208),0)</x:f>
        <x:v>0.9999712654228309</x:v>
      </x:c>
      <x:c r="L208" s="24" t="str">
        <x:f>IF(J208&gt;=K208,"Minat","Tidak minat")</x:f>
        <x:v>Tidak minat</x:v>
      </x:c>
      <x:c r="M208" s="24" t="str">
        <x:f>IF(L208=G208,"Sesuai label latih","Berbeda dari label latih")</x:f>
        <x:v>Sesuai label latih</x:v>
      </x:c>
    </x:row>
    <x:row r="209">
      <x:c r="A209" s="24" t="n">
        <x:v>208</x:v>
      </x:c>
      <x:c r="B209" s="24" t="str">
        <x:v>TSM1-L-005</x:v>
      </x:c>
      <x:c r="C209" s="24" t="str">
        <x:v>Siswa TSM1 L-005</x:v>
      </x:c>
      <x:c r="D209" s="24" t="str">
        <x:v>TSM / Teknik Sepeda Motor</x:v>
      </x:c>
      <x:c r="E209" s="24" t="str">
        <x:v>TSM 1</x:v>
      </x:c>
      <x:c r="F209" s="24" t="str">
        <x:v>Laki-laki</x:v>
      </x:c>
      <x:c r="G209" s="24" t="str">
        <x:v>Tidak minat</x:v>
      </x:c>
      <x:c r="H209" s="26" t="n">
        <x:f>Probabilitas!$C$4*INDEX(Probabilitas!$C$10:$C$11,MATCH(D209,Probabilitas!$A$10:$A$11,0))*INDEX(Probabilitas!$C$16:$C$22,MATCH(E209,Probabilitas!$A$16:$A$22,0))*INDEX(Probabilitas!$C$27:$C$28,MATCH(F209,Probabilitas!$A$27:$A$28,0))</x:f>
        <x:v>0.0000043025662753556825</x:v>
      </x:c>
      <x:c r="I209" s="26" t="n">
        <x:f>Probabilitas!$C$5*INDEX(Probabilitas!$E$10:$E$11,MATCH(D209,Probabilitas!$A$10:$A$11,0))*INDEX(Probabilitas!$E$16:$E$22,MATCH(E209,Probabilitas!$A$16:$A$22,0))*INDEX(Probabilitas!$E$27:$E$28,MATCH(F209,Probabilitas!$A$27:$A$28,0))</x:f>
        <x:v>0.14973050125660237</x:v>
      </x:c>
      <x:c r="J209" s="26" t="n">
        <x:f>IFERROR(H209/(H209+I209),0)</x:f>
        <x:v>0.00002873457716914777</x:v>
      </x:c>
      <x:c r="K209" s="26" t="n">
        <x:f>IFERROR(I209/(H209+I209),0)</x:f>
        <x:v>0.9999712654228309</x:v>
      </x:c>
      <x:c r="L209" s="24" t="str">
        <x:f>IF(J209&gt;=K209,"Minat","Tidak minat")</x:f>
        <x:v>Tidak minat</x:v>
      </x:c>
      <x:c r="M209" s="24" t="str">
        <x:f>IF(L209=G209,"Sesuai label latih","Berbeda dari label latih")</x:f>
        <x:v>Sesuai label latih</x:v>
      </x:c>
    </x:row>
    <x:row r="210">
      <x:c r="A210" s="24" t="n">
        <x:v>209</x:v>
      </x:c>
      <x:c r="B210" s="24" t="str">
        <x:v>TSM1-L-006</x:v>
      </x:c>
      <x:c r="C210" s="24" t="str">
        <x:v>Siswa TSM1 L-006</x:v>
      </x:c>
      <x:c r="D210" s="24" t="str">
        <x:v>TSM / Teknik Sepeda Motor</x:v>
      </x:c>
      <x:c r="E210" s="24" t="str">
        <x:v>TSM 1</x:v>
      </x:c>
      <x:c r="F210" s="24" t="str">
        <x:v>Laki-laki</x:v>
      </x:c>
      <x:c r="G210" s="24" t="str">
        <x:v>Tidak minat</x:v>
      </x:c>
      <x:c r="H210" s="26" t="n">
        <x:f>Probabilitas!$C$4*INDEX(Probabilitas!$C$10:$C$11,MATCH(D210,Probabilitas!$A$10:$A$11,0))*INDEX(Probabilitas!$C$16:$C$22,MATCH(E210,Probabilitas!$A$16:$A$22,0))*INDEX(Probabilitas!$C$27:$C$28,MATCH(F210,Probabilitas!$A$27:$A$28,0))</x:f>
        <x:v>0.0000043025662753556825</x:v>
      </x:c>
      <x:c r="I210" s="26" t="n">
        <x:f>Probabilitas!$C$5*INDEX(Probabilitas!$E$10:$E$11,MATCH(D210,Probabilitas!$A$10:$A$11,0))*INDEX(Probabilitas!$E$16:$E$22,MATCH(E210,Probabilitas!$A$16:$A$22,0))*INDEX(Probabilitas!$E$27:$E$28,MATCH(F210,Probabilitas!$A$27:$A$28,0))</x:f>
        <x:v>0.14973050125660237</x:v>
      </x:c>
      <x:c r="J210" s="26" t="n">
        <x:f>IFERROR(H210/(H210+I210),0)</x:f>
        <x:v>0.00002873457716914777</x:v>
      </x:c>
      <x:c r="K210" s="26" t="n">
        <x:f>IFERROR(I210/(H210+I210),0)</x:f>
        <x:v>0.9999712654228309</x:v>
      </x:c>
      <x:c r="L210" s="24" t="str">
        <x:f>IF(J210&gt;=K210,"Minat","Tidak minat")</x:f>
        <x:v>Tidak minat</x:v>
      </x:c>
      <x:c r="M210" s="24" t="str">
        <x:f>IF(L210=G210,"Sesuai label latih","Berbeda dari label latih")</x:f>
        <x:v>Sesuai label latih</x:v>
      </x:c>
    </x:row>
    <x:row r="211">
      <x:c r="A211" s="24" t="n">
        <x:v>210</x:v>
      </x:c>
      <x:c r="B211" s="24" t="str">
        <x:v>TSM1-L-007</x:v>
      </x:c>
      <x:c r="C211" s="24" t="str">
        <x:v>Siswa TSM1 L-007</x:v>
      </x:c>
      <x:c r="D211" s="24" t="str">
        <x:v>TSM / Teknik Sepeda Motor</x:v>
      </x:c>
      <x:c r="E211" s="24" t="str">
        <x:v>TSM 1</x:v>
      </x:c>
      <x:c r="F211" s="24" t="str">
        <x:v>Laki-laki</x:v>
      </x:c>
      <x:c r="G211" s="24" t="str">
        <x:v>Tidak minat</x:v>
      </x:c>
      <x:c r="H211" s="26" t="n">
        <x:f>Probabilitas!$C$4*INDEX(Probabilitas!$C$10:$C$11,MATCH(D211,Probabilitas!$A$10:$A$11,0))*INDEX(Probabilitas!$C$16:$C$22,MATCH(E211,Probabilitas!$A$16:$A$22,0))*INDEX(Probabilitas!$C$27:$C$28,MATCH(F211,Probabilitas!$A$27:$A$28,0))</x:f>
        <x:v>0.0000043025662753556825</x:v>
      </x:c>
      <x:c r="I211" s="26" t="n">
        <x:f>Probabilitas!$C$5*INDEX(Probabilitas!$E$10:$E$11,MATCH(D211,Probabilitas!$A$10:$A$11,0))*INDEX(Probabilitas!$E$16:$E$22,MATCH(E211,Probabilitas!$A$16:$A$22,0))*INDEX(Probabilitas!$E$27:$E$28,MATCH(F211,Probabilitas!$A$27:$A$28,0))</x:f>
        <x:v>0.14973050125660237</x:v>
      </x:c>
      <x:c r="J211" s="26" t="n">
        <x:f>IFERROR(H211/(H211+I211),0)</x:f>
        <x:v>0.00002873457716914777</x:v>
      </x:c>
      <x:c r="K211" s="26" t="n">
        <x:f>IFERROR(I211/(H211+I211),0)</x:f>
        <x:v>0.9999712654228309</x:v>
      </x:c>
      <x:c r="L211" s="24" t="str">
        <x:f>IF(J211&gt;=K211,"Minat","Tidak minat")</x:f>
        <x:v>Tidak minat</x:v>
      </x:c>
      <x:c r="M211" s="24" t="str">
        <x:f>IF(L211=G211,"Sesuai label latih","Berbeda dari label latih")</x:f>
        <x:v>Sesuai label latih</x:v>
      </x:c>
    </x:row>
    <x:row r="212">
      <x:c r="A212" s="24" t="n">
        <x:v>211</x:v>
      </x:c>
      <x:c r="B212" s="24" t="str">
        <x:v>TSM1-L-008</x:v>
      </x:c>
      <x:c r="C212" s="24" t="str">
        <x:v>Siswa TSM1 L-008</x:v>
      </x:c>
      <x:c r="D212" s="24" t="str">
        <x:v>TSM / Teknik Sepeda Motor</x:v>
      </x:c>
      <x:c r="E212" s="24" t="str">
        <x:v>TSM 1</x:v>
      </x:c>
      <x:c r="F212" s="24" t="str">
        <x:v>Laki-laki</x:v>
      </x:c>
      <x:c r="G212" s="24" t="str">
        <x:v>Tidak minat</x:v>
      </x:c>
      <x:c r="H212" s="26" t="n">
        <x:f>Probabilitas!$C$4*INDEX(Probabilitas!$C$10:$C$11,MATCH(D212,Probabilitas!$A$10:$A$11,0))*INDEX(Probabilitas!$C$16:$C$22,MATCH(E212,Probabilitas!$A$16:$A$22,0))*INDEX(Probabilitas!$C$27:$C$28,MATCH(F212,Probabilitas!$A$27:$A$28,0))</x:f>
        <x:v>0.0000043025662753556825</x:v>
      </x:c>
      <x:c r="I212" s="26" t="n">
        <x:f>Probabilitas!$C$5*INDEX(Probabilitas!$E$10:$E$11,MATCH(D212,Probabilitas!$A$10:$A$11,0))*INDEX(Probabilitas!$E$16:$E$22,MATCH(E212,Probabilitas!$A$16:$A$22,0))*INDEX(Probabilitas!$E$27:$E$28,MATCH(F212,Probabilitas!$A$27:$A$28,0))</x:f>
        <x:v>0.14973050125660237</x:v>
      </x:c>
      <x:c r="J212" s="26" t="n">
        <x:f>IFERROR(H212/(H212+I212),0)</x:f>
        <x:v>0.00002873457716914777</x:v>
      </x:c>
      <x:c r="K212" s="26" t="n">
        <x:f>IFERROR(I212/(H212+I212),0)</x:f>
        <x:v>0.9999712654228309</x:v>
      </x:c>
      <x:c r="L212" s="24" t="str">
        <x:f>IF(J212&gt;=K212,"Minat","Tidak minat")</x:f>
        <x:v>Tidak minat</x:v>
      </x:c>
      <x:c r="M212" s="24" t="str">
        <x:f>IF(L212=G212,"Sesuai label latih","Berbeda dari label latih")</x:f>
        <x:v>Sesuai label latih</x:v>
      </x:c>
    </x:row>
    <x:row r="213">
      <x:c r="A213" s="24" t="n">
        <x:v>212</x:v>
      </x:c>
      <x:c r="B213" s="24" t="str">
        <x:v>TSM1-L-009</x:v>
      </x:c>
      <x:c r="C213" s="24" t="str">
        <x:v>Siswa TSM1 L-009</x:v>
      </x:c>
      <x:c r="D213" s="24" t="str">
        <x:v>TSM / Teknik Sepeda Motor</x:v>
      </x:c>
      <x:c r="E213" s="24" t="str">
        <x:v>TSM 1</x:v>
      </x:c>
      <x:c r="F213" s="24" t="str">
        <x:v>Laki-laki</x:v>
      </x:c>
      <x:c r="G213" s="24" t="str">
        <x:v>Tidak minat</x:v>
      </x:c>
      <x:c r="H213" s="26" t="n">
        <x:f>Probabilitas!$C$4*INDEX(Probabilitas!$C$10:$C$11,MATCH(D213,Probabilitas!$A$10:$A$11,0))*INDEX(Probabilitas!$C$16:$C$22,MATCH(E213,Probabilitas!$A$16:$A$22,0))*INDEX(Probabilitas!$C$27:$C$28,MATCH(F213,Probabilitas!$A$27:$A$28,0))</x:f>
        <x:v>0.0000043025662753556825</x:v>
      </x:c>
      <x:c r="I213" s="26" t="n">
        <x:f>Probabilitas!$C$5*INDEX(Probabilitas!$E$10:$E$11,MATCH(D213,Probabilitas!$A$10:$A$11,0))*INDEX(Probabilitas!$E$16:$E$22,MATCH(E213,Probabilitas!$A$16:$A$22,0))*INDEX(Probabilitas!$E$27:$E$28,MATCH(F213,Probabilitas!$A$27:$A$28,0))</x:f>
        <x:v>0.14973050125660237</x:v>
      </x:c>
      <x:c r="J213" s="26" t="n">
        <x:f>IFERROR(H213/(H213+I213),0)</x:f>
        <x:v>0.00002873457716914777</x:v>
      </x:c>
      <x:c r="K213" s="26" t="n">
        <x:f>IFERROR(I213/(H213+I213),0)</x:f>
        <x:v>0.9999712654228309</x:v>
      </x:c>
      <x:c r="L213" s="24" t="str">
        <x:f>IF(J213&gt;=K213,"Minat","Tidak minat")</x:f>
        <x:v>Tidak minat</x:v>
      </x:c>
      <x:c r="M213" s="24" t="str">
        <x:f>IF(L213=G213,"Sesuai label latih","Berbeda dari label latih")</x:f>
        <x:v>Sesuai label latih</x:v>
      </x:c>
    </x:row>
    <x:row r="214">
      <x:c r="A214" s="24" t="n">
        <x:v>213</x:v>
      </x:c>
      <x:c r="B214" s="24" t="str">
        <x:v>TSM1-L-010</x:v>
      </x:c>
      <x:c r="C214" s="24" t="str">
        <x:v>Siswa TSM1 L-010</x:v>
      </x:c>
      <x:c r="D214" s="24" t="str">
        <x:v>TSM / Teknik Sepeda Motor</x:v>
      </x:c>
      <x:c r="E214" s="24" t="str">
        <x:v>TSM 1</x:v>
      </x:c>
      <x:c r="F214" s="24" t="str">
        <x:v>Laki-laki</x:v>
      </x:c>
      <x:c r="G214" s="24" t="str">
        <x:v>Tidak minat</x:v>
      </x:c>
      <x:c r="H214" s="26" t="n">
        <x:f>Probabilitas!$C$4*INDEX(Probabilitas!$C$10:$C$11,MATCH(D214,Probabilitas!$A$10:$A$11,0))*INDEX(Probabilitas!$C$16:$C$22,MATCH(E214,Probabilitas!$A$16:$A$22,0))*INDEX(Probabilitas!$C$27:$C$28,MATCH(F214,Probabilitas!$A$27:$A$28,0))</x:f>
        <x:v>0.0000043025662753556825</x:v>
      </x:c>
      <x:c r="I214" s="26" t="n">
        <x:f>Probabilitas!$C$5*INDEX(Probabilitas!$E$10:$E$11,MATCH(D214,Probabilitas!$A$10:$A$11,0))*INDEX(Probabilitas!$E$16:$E$22,MATCH(E214,Probabilitas!$A$16:$A$22,0))*INDEX(Probabilitas!$E$27:$E$28,MATCH(F214,Probabilitas!$A$27:$A$28,0))</x:f>
        <x:v>0.14973050125660237</x:v>
      </x:c>
      <x:c r="J214" s="26" t="n">
        <x:f>IFERROR(H214/(H214+I214),0)</x:f>
        <x:v>0.00002873457716914777</x:v>
      </x:c>
      <x:c r="K214" s="26" t="n">
        <x:f>IFERROR(I214/(H214+I214),0)</x:f>
        <x:v>0.9999712654228309</x:v>
      </x:c>
      <x:c r="L214" s="24" t="str">
        <x:f>IF(J214&gt;=K214,"Minat","Tidak minat")</x:f>
        <x:v>Tidak minat</x:v>
      </x:c>
      <x:c r="M214" s="24" t="str">
        <x:f>IF(L214=G214,"Sesuai label latih","Berbeda dari label latih")</x:f>
        <x:v>Sesuai label latih</x:v>
      </x:c>
    </x:row>
    <x:row r="215">
      <x:c r="A215" s="24" t="n">
        <x:v>214</x:v>
      </x:c>
      <x:c r="B215" s="24" t="str">
        <x:v>TSM1-L-011</x:v>
      </x:c>
      <x:c r="C215" s="24" t="str">
        <x:v>Siswa TSM1 L-011</x:v>
      </x:c>
      <x:c r="D215" s="24" t="str">
        <x:v>TSM / Teknik Sepeda Motor</x:v>
      </x:c>
      <x:c r="E215" s="24" t="str">
        <x:v>TSM 1</x:v>
      </x:c>
      <x:c r="F215" s="24" t="str">
        <x:v>Laki-laki</x:v>
      </x:c>
      <x:c r="G215" s="24" t="str">
        <x:v>Tidak minat</x:v>
      </x:c>
      <x:c r="H215" s="26" t="n">
        <x:f>Probabilitas!$C$4*INDEX(Probabilitas!$C$10:$C$11,MATCH(D215,Probabilitas!$A$10:$A$11,0))*INDEX(Probabilitas!$C$16:$C$22,MATCH(E215,Probabilitas!$A$16:$A$22,0))*INDEX(Probabilitas!$C$27:$C$28,MATCH(F215,Probabilitas!$A$27:$A$28,0))</x:f>
        <x:v>0.0000043025662753556825</x:v>
      </x:c>
      <x:c r="I215" s="26" t="n">
        <x:f>Probabilitas!$C$5*INDEX(Probabilitas!$E$10:$E$11,MATCH(D215,Probabilitas!$A$10:$A$11,0))*INDEX(Probabilitas!$E$16:$E$22,MATCH(E215,Probabilitas!$A$16:$A$22,0))*INDEX(Probabilitas!$E$27:$E$28,MATCH(F215,Probabilitas!$A$27:$A$28,0))</x:f>
        <x:v>0.14973050125660237</x:v>
      </x:c>
      <x:c r="J215" s="26" t="n">
        <x:f>IFERROR(H215/(H215+I215),0)</x:f>
        <x:v>0.00002873457716914777</x:v>
      </x:c>
      <x:c r="K215" s="26" t="n">
        <x:f>IFERROR(I215/(H215+I215),0)</x:f>
        <x:v>0.9999712654228309</x:v>
      </x:c>
      <x:c r="L215" s="24" t="str">
        <x:f>IF(J215&gt;=K215,"Minat","Tidak minat")</x:f>
        <x:v>Tidak minat</x:v>
      </x:c>
      <x:c r="M215" s="24" t="str">
        <x:f>IF(L215=G215,"Sesuai label latih","Berbeda dari label latih")</x:f>
        <x:v>Sesuai label latih</x:v>
      </x:c>
    </x:row>
    <x:row r="216">
      <x:c r="A216" s="24" t="n">
        <x:v>215</x:v>
      </x:c>
      <x:c r="B216" s="24" t="str">
        <x:v>TSM1-L-012</x:v>
      </x:c>
      <x:c r="C216" s="24" t="str">
        <x:v>Siswa TSM1 L-012</x:v>
      </x:c>
      <x:c r="D216" s="24" t="str">
        <x:v>TSM / Teknik Sepeda Motor</x:v>
      </x:c>
      <x:c r="E216" s="24" t="str">
        <x:v>TSM 1</x:v>
      </x:c>
      <x:c r="F216" s="24" t="str">
        <x:v>Laki-laki</x:v>
      </x:c>
      <x:c r="G216" s="24" t="str">
        <x:v>Tidak minat</x:v>
      </x:c>
      <x:c r="H216" s="26" t="n">
        <x:f>Probabilitas!$C$4*INDEX(Probabilitas!$C$10:$C$11,MATCH(D216,Probabilitas!$A$10:$A$11,0))*INDEX(Probabilitas!$C$16:$C$22,MATCH(E216,Probabilitas!$A$16:$A$22,0))*INDEX(Probabilitas!$C$27:$C$28,MATCH(F216,Probabilitas!$A$27:$A$28,0))</x:f>
        <x:v>0.0000043025662753556825</x:v>
      </x:c>
      <x:c r="I216" s="26" t="n">
        <x:f>Probabilitas!$C$5*INDEX(Probabilitas!$E$10:$E$11,MATCH(D216,Probabilitas!$A$10:$A$11,0))*INDEX(Probabilitas!$E$16:$E$22,MATCH(E216,Probabilitas!$A$16:$A$22,0))*INDEX(Probabilitas!$E$27:$E$28,MATCH(F216,Probabilitas!$A$27:$A$28,0))</x:f>
        <x:v>0.14973050125660237</x:v>
      </x:c>
      <x:c r="J216" s="26" t="n">
        <x:f>IFERROR(H216/(H216+I216),0)</x:f>
        <x:v>0.00002873457716914777</x:v>
      </x:c>
      <x:c r="K216" s="26" t="n">
        <x:f>IFERROR(I216/(H216+I216),0)</x:f>
        <x:v>0.9999712654228309</x:v>
      </x:c>
      <x:c r="L216" s="24" t="str">
        <x:f>IF(J216&gt;=K216,"Minat","Tidak minat")</x:f>
        <x:v>Tidak minat</x:v>
      </x:c>
      <x:c r="M216" s="24" t="str">
        <x:f>IF(L216=G216,"Sesuai label latih","Berbeda dari label latih")</x:f>
        <x:v>Sesuai label latih</x:v>
      </x:c>
    </x:row>
    <x:row r="217">
      <x:c r="A217" s="24" t="n">
        <x:v>216</x:v>
      </x:c>
      <x:c r="B217" s="24" t="str">
        <x:v>TSM1-L-013</x:v>
      </x:c>
      <x:c r="C217" s="24" t="str">
        <x:v>Siswa TSM1 L-013</x:v>
      </x:c>
      <x:c r="D217" s="24" t="str">
        <x:v>TSM / Teknik Sepeda Motor</x:v>
      </x:c>
      <x:c r="E217" s="24" t="str">
        <x:v>TSM 1</x:v>
      </x:c>
      <x:c r="F217" s="24" t="str">
        <x:v>Laki-laki</x:v>
      </x:c>
      <x:c r="G217" s="24" t="str">
        <x:v>Tidak minat</x:v>
      </x:c>
      <x:c r="H217" s="26" t="n">
        <x:f>Probabilitas!$C$4*INDEX(Probabilitas!$C$10:$C$11,MATCH(D217,Probabilitas!$A$10:$A$11,0))*INDEX(Probabilitas!$C$16:$C$22,MATCH(E217,Probabilitas!$A$16:$A$22,0))*INDEX(Probabilitas!$C$27:$C$28,MATCH(F217,Probabilitas!$A$27:$A$28,0))</x:f>
        <x:v>0.0000043025662753556825</x:v>
      </x:c>
      <x:c r="I217" s="26" t="n">
        <x:f>Probabilitas!$C$5*INDEX(Probabilitas!$E$10:$E$11,MATCH(D217,Probabilitas!$A$10:$A$11,0))*INDEX(Probabilitas!$E$16:$E$22,MATCH(E217,Probabilitas!$A$16:$A$22,0))*INDEX(Probabilitas!$E$27:$E$28,MATCH(F217,Probabilitas!$A$27:$A$28,0))</x:f>
        <x:v>0.14973050125660237</x:v>
      </x:c>
      <x:c r="J217" s="26" t="n">
        <x:f>IFERROR(H217/(H217+I217),0)</x:f>
        <x:v>0.00002873457716914777</x:v>
      </x:c>
      <x:c r="K217" s="26" t="n">
        <x:f>IFERROR(I217/(H217+I217),0)</x:f>
        <x:v>0.9999712654228309</x:v>
      </x:c>
      <x:c r="L217" s="24" t="str">
        <x:f>IF(J217&gt;=K217,"Minat","Tidak minat")</x:f>
        <x:v>Tidak minat</x:v>
      </x:c>
      <x:c r="M217" s="24" t="str">
        <x:f>IF(L217=G217,"Sesuai label latih","Berbeda dari label latih")</x:f>
        <x:v>Sesuai label latih</x:v>
      </x:c>
    </x:row>
    <x:row r="218">
      <x:c r="A218" s="24" t="n">
        <x:v>217</x:v>
      </x:c>
      <x:c r="B218" s="24" t="str">
        <x:v>TSM1-L-014</x:v>
      </x:c>
      <x:c r="C218" s="24" t="str">
        <x:v>Siswa TSM1 L-014</x:v>
      </x:c>
      <x:c r="D218" s="24" t="str">
        <x:v>TSM / Teknik Sepeda Motor</x:v>
      </x:c>
      <x:c r="E218" s="24" t="str">
        <x:v>TSM 1</x:v>
      </x:c>
      <x:c r="F218" s="24" t="str">
        <x:v>Laki-laki</x:v>
      </x:c>
      <x:c r="G218" s="24" t="str">
        <x:v>Tidak minat</x:v>
      </x:c>
      <x:c r="H218" s="26" t="n">
        <x:f>Probabilitas!$C$4*INDEX(Probabilitas!$C$10:$C$11,MATCH(D218,Probabilitas!$A$10:$A$11,0))*INDEX(Probabilitas!$C$16:$C$22,MATCH(E218,Probabilitas!$A$16:$A$22,0))*INDEX(Probabilitas!$C$27:$C$28,MATCH(F218,Probabilitas!$A$27:$A$28,0))</x:f>
        <x:v>0.0000043025662753556825</x:v>
      </x:c>
      <x:c r="I218" s="26" t="n">
        <x:f>Probabilitas!$C$5*INDEX(Probabilitas!$E$10:$E$11,MATCH(D218,Probabilitas!$A$10:$A$11,0))*INDEX(Probabilitas!$E$16:$E$22,MATCH(E218,Probabilitas!$A$16:$A$22,0))*INDEX(Probabilitas!$E$27:$E$28,MATCH(F218,Probabilitas!$A$27:$A$28,0))</x:f>
        <x:v>0.14973050125660237</x:v>
      </x:c>
      <x:c r="J218" s="26" t="n">
        <x:f>IFERROR(H218/(H218+I218),0)</x:f>
        <x:v>0.00002873457716914777</x:v>
      </x:c>
      <x:c r="K218" s="26" t="n">
        <x:f>IFERROR(I218/(H218+I218),0)</x:f>
        <x:v>0.9999712654228309</x:v>
      </x:c>
      <x:c r="L218" s="24" t="str">
        <x:f>IF(J218&gt;=K218,"Minat","Tidak minat")</x:f>
        <x:v>Tidak minat</x:v>
      </x:c>
      <x:c r="M218" s="24" t="str">
        <x:f>IF(L218=G218,"Sesuai label latih","Berbeda dari label latih")</x:f>
        <x:v>Sesuai label latih</x:v>
      </x:c>
    </x:row>
    <x:row r="219">
      <x:c r="A219" s="24" t="n">
        <x:v>218</x:v>
      </x:c>
      <x:c r="B219" s="24" t="str">
        <x:v>TSM1-L-015</x:v>
      </x:c>
      <x:c r="C219" s="24" t="str">
        <x:v>Siswa TSM1 L-015</x:v>
      </x:c>
      <x:c r="D219" s="24" t="str">
        <x:v>TSM / Teknik Sepeda Motor</x:v>
      </x:c>
      <x:c r="E219" s="24" t="str">
        <x:v>TSM 1</x:v>
      </x:c>
      <x:c r="F219" s="24" t="str">
        <x:v>Laki-laki</x:v>
      </x:c>
      <x:c r="G219" s="24" t="str">
        <x:v>Tidak minat</x:v>
      </x:c>
      <x:c r="H219" s="26" t="n">
        <x:f>Probabilitas!$C$4*INDEX(Probabilitas!$C$10:$C$11,MATCH(D219,Probabilitas!$A$10:$A$11,0))*INDEX(Probabilitas!$C$16:$C$22,MATCH(E219,Probabilitas!$A$16:$A$22,0))*INDEX(Probabilitas!$C$27:$C$28,MATCH(F219,Probabilitas!$A$27:$A$28,0))</x:f>
        <x:v>0.0000043025662753556825</x:v>
      </x:c>
      <x:c r="I219" s="26" t="n">
        <x:f>Probabilitas!$C$5*INDEX(Probabilitas!$E$10:$E$11,MATCH(D219,Probabilitas!$A$10:$A$11,0))*INDEX(Probabilitas!$E$16:$E$22,MATCH(E219,Probabilitas!$A$16:$A$22,0))*INDEX(Probabilitas!$E$27:$E$28,MATCH(F219,Probabilitas!$A$27:$A$28,0))</x:f>
        <x:v>0.14973050125660237</x:v>
      </x:c>
      <x:c r="J219" s="26" t="n">
        <x:f>IFERROR(H219/(H219+I219),0)</x:f>
        <x:v>0.00002873457716914777</x:v>
      </x:c>
      <x:c r="K219" s="26" t="n">
        <x:f>IFERROR(I219/(H219+I219),0)</x:f>
        <x:v>0.9999712654228309</x:v>
      </x:c>
      <x:c r="L219" s="24" t="str">
        <x:f>IF(J219&gt;=K219,"Minat","Tidak minat")</x:f>
        <x:v>Tidak minat</x:v>
      </x:c>
      <x:c r="M219" s="24" t="str">
        <x:f>IF(L219=G219,"Sesuai label latih","Berbeda dari label latih")</x:f>
        <x:v>Sesuai label latih</x:v>
      </x:c>
    </x:row>
    <x:row r="220">
      <x:c r="A220" s="24" t="n">
        <x:v>219</x:v>
      </x:c>
      <x:c r="B220" s="24" t="str">
        <x:v>TSM1-L-016</x:v>
      </x:c>
      <x:c r="C220" s="24" t="str">
        <x:v>Siswa TSM1 L-016</x:v>
      </x:c>
      <x:c r="D220" s="24" t="str">
        <x:v>TSM / Teknik Sepeda Motor</x:v>
      </x:c>
      <x:c r="E220" s="24" t="str">
        <x:v>TSM 1</x:v>
      </x:c>
      <x:c r="F220" s="24" t="str">
        <x:v>Laki-laki</x:v>
      </x:c>
      <x:c r="G220" s="24" t="str">
        <x:v>Tidak minat</x:v>
      </x:c>
      <x:c r="H220" s="26" t="n">
        <x:f>Probabilitas!$C$4*INDEX(Probabilitas!$C$10:$C$11,MATCH(D220,Probabilitas!$A$10:$A$11,0))*INDEX(Probabilitas!$C$16:$C$22,MATCH(E220,Probabilitas!$A$16:$A$22,0))*INDEX(Probabilitas!$C$27:$C$28,MATCH(F220,Probabilitas!$A$27:$A$28,0))</x:f>
        <x:v>0.0000043025662753556825</x:v>
      </x:c>
      <x:c r="I220" s="26" t="n">
        <x:f>Probabilitas!$C$5*INDEX(Probabilitas!$E$10:$E$11,MATCH(D220,Probabilitas!$A$10:$A$11,0))*INDEX(Probabilitas!$E$16:$E$22,MATCH(E220,Probabilitas!$A$16:$A$22,0))*INDEX(Probabilitas!$E$27:$E$28,MATCH(F220,Probabilitas!$A$27:$A$28,0))</x:f>
        <x:v>0.14973050125660237</x:v>
      </x:c>
      <x:c r="J220" s="26" t="n">
        <x:f>IFERROR(H220/(H220+I220),0)</x:f>
        <x:v>0.00002873457716914777</x:v>
      </x:c>
      <x:c r="K220" s="26" t="n">
        <x:f>IFERROR(I220/(H220+I220),0)</x:f>
        <x:v>0.9999712654228309</x:v>
      </x:c>
      <x:c r="L220" s="24" t="str">
        <x:f>IF(J220&gt;=K220,"Minat","Tidak minat")</x:f>
        <x:v>Tidak minat</x:v>
      </x:c>
      <x:c r="M220" s="24" t="str">
        <x:f>IF(L220=G220,"Sesuai label latih","Berbeda dari label latih")</x:f>
        <x:v>Sesuai label latih</x:v>
      </x:c>
    </x:row>
    <x:row r="221">
      <x:c r="A221" s="24" t="n">
        <x:v>220</x:v>
      </x:c>
      <x:c r="B221" s="24" t="str">
        <x:v>TSM1-L-017</x:v>
      </x:c>
      <x:c r="C221" s="24" t="str">
        <x:v>Siswa TSM1 L-017</x:v>
      </x:c>
      <x:c r="D221" s="24" t="str">
        <x:v>TSM / Teknik Sepeda Motor</x:v>
      </x:c>
      <x:c r="E221" s="24" t="str">
        <x:v>TSM 1</x:v>
      </x:c>
      <x:c r="F221" s="24" t="str">
        <x:v>Laki-laki</x:v>
      </x:c>
      <x:c r="G221" s="24" t="str">
        <x:v>Tidak minat</x:v>
      </x:c>
      <x:c r="H221" s="26" t="n">
        <x:f>Probabilitas!$C$4*INDEX(Probabilitas!$C$10:$C$11,MATCH(D221,Probabilitas!$A$10:$A$11,0))*INDEX(Probabilitas!$C$16:$C$22,MATCH(E221,Probabilitas!$A$16:$A$22,0))*INDEX(Probabilitas!$C$27:$C$28,MATCH(F221,Probabilitas!$A$27:$A$28,0))</x:f>
        <x:v>0.0000043025662753556825</x:v>
      </x:c>
      <x:c r="I221" s="26" t="n">
        <x:f>Probabilitas!$C$5*INDEX(Probabilitas!$E$10:$E$11,MATCH(D221,Probabilitas!$A$10:$A$11,0))*INDEX(Probabilitas!$E$16:$E$22,MATCH(E221,Probabilitas!$A$16:$A$22,0))*INDEX(Probabilitas!$E$27:$E$28,MATCH(F221,Probabilitas!$A$27:$A$28,0))</x:f>
        <x:v>0.14973050125660237</x:v>
      </x:c>
      <x:c r="J221" s="26" t="n">
        <x:f>IFERROR(H221/(H221+I221),0)</x:f>
        <x:v>0.00002873457716914777</x:v>
      </x:c>
      <x:c r="K221" s="26" t="n">
        <x:f>IFERROR(I221/(H221+I221),0)</x:f>
        <x:v>0.9999712654228309</x:v>
      </x:c>
      <x:c r="L221" s="24" t="str">
        <x:f>IF(J221&gt;=K221,"Minat","Tidak minat")</x:f>
        <x:v>Tidak minat</x:v>
      </x:c>
      <x:c r="M221" s="24" t="str">
        <x:f>IF(L221=G221,"Sesuai label latih","Berbeda dari label latih")</x:f>
        <x:v>Sesuai label latih</x:v>
      </x:c>
    </x:row>
    <x:row r="222">
      <x:c r="A222" s="24" t="n">
        <x:v>221</x:v>
      </x:c>
      <x:c r="B222" s="24" t="str">
        <x:v>TSM1-L-018</x:v>
      </x:c>
      <x:c r="C222" s="24" t="str">
        <x:v>Siswa TSM1 L-018</x:v>
      </x:c>
      <x:c r="D222" s="24" t="str">
        <x:v>TSM / Teknik Sepeda Motor</x:v>
      </x:c>
      <x:c r="E222" s="24" t="str">
        <x:v>TSM 1</x:v>
      </x:c>
      <x:c r="F222" s="24" t="str">
        <x:v>Laki-laki</x:v>
      </x:c>
      <x:c r="G222" s="24" t="str">
        <x:v>Tidak minat</x:v>
      </x:c>
      <x:c r="H222" s="26" t="n">
        <x:f>Probabilitas!$C$4*INDEX(Probabilitas!$C$10:$C$11,MATCH(D222,Probabilitas!$A$10:$A$11,0))*INDEX(Probabilitas!$C$16:$C$22,MATCH(E222,Probabilitas!$A$16:$A$22,0))*INDEX(Probabilitas!$C$27:$C$28,MATCH(F222,Probabilitas!$A$27:$A$28,0))</x:f>
        <x:v>0.0000043025662753556825</x:v>
      </x:c>
      <x:c r="I222" s="26" t="n">
        <x:f>Probabilitas!$C$5*INDEX(Probabilitas!$E$10:$E$11,MATCH(D222,Probabilitas!$A$10:$A$11,0))*INDEX(Probabilitas!$E$16:$E$22,MATCH(E222,Probabilitas!$A$16:$A$22,0))*INDEX(Probabilitas!$E$27:$E$28,MATCH(F222,Probabilitas!$A$27:$A$28,0))</x:f>
        <x:v>0.14973050125660237</x:v>
      </x:c>
      <x:c r="J222" s="26" t="n">
        <x:f>IFERROR(H222/(H222+I222),0)</x:f>
        <x:v>0.00002873457716914777</x:v>
      </x:c>
      <x:c r="K222" s="26" t="n">
        <x:f>IFERROR(I222/(H222+I222),0)</x:f>
        <x:v>0.9999712654228309</x:v>
      </x:c>
      <x:c r="L222" s="24" t="str">
        <x:f>IF(J222&gt;=K222,"Minat","Tidak minat")</x:f>
        <x:v>Tidak minat</x:v>
      </x:c>
      <x:c r="M222" s="24" t="str">
        <x:f>IF(L222=G222,"Sesuai label latih","Berbeda dari label latih")</x:f>
        <x:v>Sesuai label latih</x:v>
      </x:c>
    </x:row>
    <x:row r="223">
      <x:c r="A223" s="24" t="n">
        <x:v>222</x:v>
      </x:c>
      <x:c r="B223" s="24" t="str">
        <x:v>TSM1-L-019</x:v>
      </x:c>
      <x:c r="C223" s="24" t="str">
        <x:v>Siswa TSM1 L-019</x:v>
      </x:c>
      <x:c r="D223" s="24" t="str">
        <x:v>TSM / Teknik Sepeda Motor</x:v>
      </x:c>
      <x:c r="E223" s="24" t="str">
        <x:v>TSM 1</x:v>
      </x:c>
      <x:c r="F223" s="24" t="str">
        <x:v>Laki-laki</x:v>
      </x:c>
      <x:c r="G223" s="24" t="str">
        <x:v>Tidak minat</x:v>
      </x:c>
      <x:c r="H223" s="26" t="n">
        <x:f>Probabilitas!$C$4*INDEX(Probabilitas!$C$10:$C$11,MATCH(D223,Probabilitas!$A$10:$A$11,0))*INDEX(Probabilitas!$C$16:$C$22,MATCH(E223,Probabilitas!$A$16:$A$22,0))*INDEX(Probabilitas!$C$27:$C$28,MATCH(F223,Probabilitas!$A$27:$A$28,0))</x:f>
        <x:v>0.0000043025662753556825</x:v>
      </x:c>
      <x:c r="I223" s="26" t="n">
        <x:f>Probabilitas!$C$5*INDEX(Probabilitas!$E$10:$E$11,MATCH(D223,Probabilitas!$A$10:$A$11,0))*INDEX(Probabilitas!$E$16:$E$22,MATCH(E223,Probabilitas!$A$16:$A$22,0))*INDEX(Probabilitas!$E$27:$E$28,MATCH(F223,Probabilitas!$A$27:$A$28,0))</x:f>
        <x:v>0.14973050125660237</x:v>
      </x:c>
      <x:c r="J223" s="26" t="n">
        <x:f>IFERROR(H223/(H223+I223),0)</x:f>
        <x:v>0.00002873457716914777</x:v>
      </x:c>
      <x:c r="K223" s="26" t="n">
        <x:f>IFERROR(I223/(H223+I223),0)</x:f>
        <x:v>0.9999712654228309</x:v>
      </x:c>
      <x:c r="L223" s="24" t="str">
        <x:f>IF(J223&gt;=K223,"Minat","Tidak minat")</x:f>
        <x:v>Tidak minat</x:v>
      </x:c>
      <x:c r="M223" s="24" t="str">
        <x:f>IF(L223=G223,"Sesuai label latih","Berbeda dari label latih")</x:f>
        <x:v>Sesuai label latih</x:v>
      </x:c>
    </x:row>
    <x:row r="224">
      <x:c r="A224" s="24" t="n">
        <x:v>223</x:v>
      </x:c>
      <x:c r="B224" s="24" t="str">
        <x:v>TSM1-L-020</x:v>
      </x:c>
      <x:c r="C224" s="24" t="str">
        <x:v>Siswa TSM1 L-020</x:v>
      </x:c>
      <x:c r="D224" s="24" t="str">
        <x:v>TSM / Teknik Sepeda Motor</x:v>
      </x:c>
      <x:c r="E224" s="24" t="str">
        <x:v>TSM 1</x:v>
      </x:c>
      <x:c r="F224" s="24" t="str">
        <x:v>Laki-laki</x:v>
      </x:c>
      <x:c r="G224" s="24" t="str">
        <x:v>Tidak minat</x:v>
      </x:c>
      <x:c r="H224" s="26" t="n">
        <x:f>Probabilitas!$C$4*INDEX(Probabilitas!$C$10:$C$11,MATCH(D224,Probabilitas!$A$10:$A$11,0))*INDEX(Probabilitas!$C$16:$C$22,MATCH(E224,Probabilitas!$A$16:$A$22,0))*INDEX(Probabilitas!$C$27:$C$28,MATCH(F224,Probabilitas!$A$27:$A$28,0))</x:f>
        <x:v>0.0000043025662753556825</x:v>
      </x:c>
      <x:c r="I224" s="26" t="n">
        <x:f>Probabilitas!$C$5*INDEX(Probabilitas!$E$10:$E$11,MATCH(D224,Probabilitas!$A$10:$A$11,0))*INDEX(Probabilitas!$E$16:$E$22,MATCH(E224,Probabilitas!$A$16:$A$22,0))*INDEX(Probabilitas!$E$27:$E$28,MATCH(F224,Probabilitas!$A$27:$A$28,0))</x:f>
        <x:v>0.14973050125660237</x:v>
      </x:c>
      <x:c r="J224" s="26" t="n">
        <x:f>IFERROR(H224/(H224+I224),0)</x:f>
        <x:v>0.00002873457716914777</x:v>
      </x:c>
      <x:c r="K224" s="26" t="n">
        <x:f>IFERROR(I224/(H224+I224),0)</x:f>
        <x:v>0.9999712654228309</x:v>
      </x:c>
      <x:c r="L224" s="24" t="str">
        <x:f>IF(J224&gt;=K224,"Minat","Tidak minat")</x:f>
        <x:v>Tidak minat</x:v>
      </x:c>
      <x:c r="M224" s="24" t="str">
        <x:f>IF(L224=G224,"Sesuai label latih","Berbeda dari label latih")</x:f>
        <x:v>Sesuai label latih</x:v>
      </x:c>
    </x:row>
    <x:row r="225">
      <x:c r="A225" s="24" t="n">
        <x:v>224</x:v>
      </x:c>
      <x:c r="B225" s="24" t="str">
        <x:v>TSM1-L-021</x:v>
      </x:c>
      <x:c r="C225" s="24" t="str">
        <x:v>Siswa TSM1 L-021</x:v>
      </x:c>
      <x:c r="D225" s="24" t="str">
        <x:v>TSM / Teknik Sepeda Motor</x:v>
      </x:c>
      <x:c r="E225" s="24" t="str">
        <x:v>TSM 1</x:v>
      </x:c>
      <x:c r="F225" s="24" t="str">
        <x:v>Laki-laki</x:v>
      </x:c>
      <x:c r="G225" s="24" t="str">
        <x:v>Tidak minat</x:v>
      </x:c>
      <x:c r="H225" s="26" t="n">
        <x:f>Probabilitas!$C$4*INDEX(Probabilitas!$C$10:$C$11,MATCH(D225,Probabilitas!$A$10:$A$11,0))*INDEX(Probabilitas!$C$16:$C$22,MATCH(E225,Probabilitas!$A$16:$A$22,0))*INDEX(Probabilitas!$C$27:$C$28,MATCH(F225,Probabilitas!$A$27:$A$28,0))</x:f>
        <x:v>0.0000043025662753556825</x:v>
      </x:c>
      <x:c r="I225" s="26" t="n">
        <x:f>Probabilitas!$C$5*INDEX(Probabilitas!$E$10:$E$11,MATCH(D225,Probabilitas!$A$10:$A$11,0))*INDEX(Probabilitas!$E$16:$E$22,MATCH(E225,Probabilitas!$A$16:$A$22,0))*INDEX(Probabilitas!$E$27:$E$28,MATCH(F225,Probabilitas!$A$27:$A$28,0))</x:f>
        <x:v>0.14973050125660237</x:v>
      </x:c>
      <x:c r="J225" s="26" t="n">
        <x:f>IFERROR(H225/(H225+I225),0)</x:f>
        <x:v>0.00002873457716914777</x:v>
      </x:c>
      <x:c r="K225" s="26" t="n">
        <x:f>IFERROR(I225/(H225+I225),0)</x:f>
        <x:v>0.9999712654228309</x:v>
      </x:c>
      <x:c r="L225" s="24" t="str">
        <x:f>IF(J225&gt;=K225,"Minat","Tidak minat")</x:f>
        <x:v>Tidak minat</x:v>
      </x:c>
      <x:c r="M225" s="24" t="str">
        <x:f>IF(L225=G225,"Sesuai label latih","Berbeda dari label latih")</x:f>
        <x:v>Sesuai label latih</x:v>
      </x:c>
    </x:row>
    <x:row r="226">
      <x:c r="A226" s="24" t="n">
        <x:v>225</x:v>
      </x:c>
      <x:c r="B226" s="24" t="str">
        <x:v>TSM1-L-022</x:v>
      </x:c>
      <x:c r="C226" s="24" t="str">
        <x:v>Siswa TSM1 L-022</x:v>
      </x:c>
      <x:c r="D226" s="24" t="str">
        <x:v>TSM / Teknik Sepeda Motor</x:v>
      </x:c>
      <x:c r="E226" s="24" t="str">
        <x:v>TSM 1</x:v>
      </x:c>
      <x:c r="F226" s="24" t="str">
        <x:v>Laki-laki</x:v>
      </x:c>
      <x:c r="G226" s="24" t="str">
        <x:v>Tidak minat</x:v>
      </x:c>
      <x:c r="H226" s="26" t="n">
        <x:f>Probabilitas!$C$4*INDEX(Probabilitas!$C$10:$C$11,MATCH(D226,Probabilitas!$A$10:$A$11,0))*INDEX(Probabilitas!$C$16:$C$22,MATCH(E226,Probabilitas!$A$16:$A$22,0))*INDEX(Probabilitas!$C$27:$C$28,MATCH(F226,Probabilitas!$A$27:$A$28,0))</x:f>
        <x:v>0.0000043025662753556825</x:v>
      </x:c>
      <x:c r="I226" s="26" t="n">
        <x:f>Probabilitas!$C$5*INDEX(Probabilitas!$E$10:$E$11,MATCH(D226,Probabilitas!$A$10:$A$11,0))*INDEX(Probabilitas!$E$16:$E$22,MATCH(E226,Probabilitas!$A$16:$A$22,0))*INDEX(Probabilitas!$E$27:$E$28,MATCH(F226,Probabilitas!$A$27:$A$28,0))</x:f>
        <x:v>0.14973050125660237</x:v>
      </x:c>
      <x:c r="J226" s="26" t="n">
        <x:f>IFERROR(H226/(H226+I226),0)</x:f>
        <x:v>0.00002873457716914777</x:v>
      </x:c>
      <x:c r="K226" s="26" t="n">
        <x:f>IFERROR(I226/(H226+I226),0)</x:f>
        <x:v>0.9999712654228309</x:v>
      </x:c>
      <x:c r="L226" s="24" t="str">
        <x:f>IF(J226&gt;=K226,"Minat","Tidak minat")</x:f>
        <x:v>Tidak minat</x:v>
      </x:c>
      <x:c r="M226" s="24" t="str">
        <x:f>IF(L226=G226,"Sesuai label latih","Berbeda dari label latih")</x:f>
        <x:v>Sesuai label latih</x:v>
      </x:c>
    </x:row>
    <x:row r="227">
      <x:c r="A227" s="24" t="n">
        <x:v>226</x:v>
      </x:c>
      <x:c r="B227" s="24" t="str">
        <x:v>TSM1-L-023</x:v>
      </x:c>
      <x:c r="C227" s="24" t="str">
        <x:v>Siswa TSM1 L-023</x:v>
      </x:c>
      <x:c r="D227" s="24" t="str">
        <x:v>TSM / Teknik Sepeda Motor</x:v>
      </x:c>
      <x:c r="E227" s="24" t="str">
        <x:v>TSM 1</x:v>
      </x:c>
      <x:c r="F227" s="24" t="str">
        <x:v>Laki-laki</x:v>
      </x:c>
      <x:c r="G227" s="24" t="str">
        <x:v>Tidak minat</x:v>
      </x:c>
      <x:c r="H227" s="26" t="n">
        <x:f>Probabilitas!$C$4*INDEX(Probabilitas!$C$10:$C$11,MATCH(D227,Probabilitas!$A$10:$A$11,0))*INDEX(Probabilitas!$C$16:$C$22,MATCH(E227,Probabilitas!$A$16:$A$22,0))*INDEX(Probabilitas!$C$27:$C$28,MATCH(F227,Probabilitas!$A$27:$A$28,0))</x:f>
        <x:v>0.0000043025662753556825</x:v>
      </x:c>
      <x:c r="I227" s="26" t="n">
        <x:f>Probabilitas!$C$5*INDEX(Probabilitas!$E$10:$E$11,MATCH(D227,Probabilitas!$A$10:$A$11,0))*INDEX(Probabilitas!$E$16:$E$22,MATCH(E227,Probabilitas!$A$16:$A$22,0))*INDEX(Probabilitas!$E$27:$E$28,MATCH(F227,Probabilitas!$A$27:$A$28,0))</x:f>
        <x:v>0.14973050125660237</x:v>
      </x:c>
      <x:c r="J227" s="26" t="n">
        <x:f>IFERROR(H227/(H227+I227),0)</x:f>
        <x:v>0.00002873457716914777</x:v>
      </x:c>
      <x:c r="K227" s="26" t="n">
        <x:f>IFERROR(I227/(H227+I227),0)</x:f>
        <x:v>0.9999712654228309</x:v>
      </x:c>
      <x:c r="L227" s="24" t="str">
        <x:f>IF(J227&gt;=K227,"Minat","Tidak minat")</x:f>
        <x:v>Tidak minat</x:v>
      </x:c>
      <x:c r="M227" s="24" t="str">
        <x:f>IF(L227=G227,"Sesuai label latih","Berbeda dari label latih")</x:f>
        <x:v>Sesuai label latih</x:v>
      </x:c>
    </x:row>
    <x:row r="228">
      <x:c r="A228" s="24" t="n">
        <x:v>227</x:v>
      </x:c>
      <x:c r="B228" s="24" t="str">
        <x:v>TSM1-L-024</x:v>
      </x:c>
      <x:c r="C228" s="24" t="str">
        <x:v>Siswa TSM1 L-024</x:v>
      </x:c>
      <x:c r="D228" s="24" t="str">
        <x:v>TSM / Teknik Sepeda Motor</x:v>
      </x:c>
      <x:c r="E228" s="24" t="str">
        <x:v>TSM 1</x:v>
      </x:c>
      <x:c r="F228" s="24" t="str">
        <x:v>Laki-laki</x:v>
      </x:c>
      <x:c r="G228" s="24" t="str">
        <x:v>Tidak minat</x:v>
      </x:c>
      <x:c r="H228" s="26" t="n">
        <x:f>Probabilitas!$C$4*INDEX(Probabilitas!$C$10:$C$11,MATCH(D228,Probabilitas!$A$10:$A$11,0))*INDEX(Probabilitas!$C$16:$C$22,MATCH(E228,Probabilitas!$A$16:$A$22,0))*INDEX(Probabilitas!$C$27:$C$28,MATCH(F228,Probabilitas!$A$27:$A$28,0))</x:f>
        <x:v>0.0000043025662753556825</x:v>
      </x:c>
      <x:c r="I228" s="26" t="n">
        <x:f>Probabilitas!$C$5*INDEX(Probabilitas!$E$10:$E$11,MATCH(D228,Probabilitas!$A$10:$A$11,0))*INDEX(Probabilitas!$E$16:$E$22,MATCH(E228,Probabilitas!$A$16:$A$22,0))*INDEX(Probabilitas!$E$27:$E$28,MATCH(F228,Probabilitas!$A$27:$A$28,0))</x:f>
        <x:v>0.14973050125660237</x:v>
      </x:c>
      <x:c r="J228" s="26" t="n">
        <x:f>IFERROR(H228/(H228+I228),0)</x:f>
        <x:v>0.00002873457716914777</x:v>
      </x:c>
      <x:c r="K228" s="26" t="n">
        <x:f>IFERROR(I228/(H228+I228),0)</x:f>
        <x:v>0.9999712654228309</x:v>
      </x:c>
      <x:c r="L228" s="24" t="str">
        <x:f>IF(J228&gt;=K228,"Minat","Tidak minat")</x:f>
        <x:v>Tidak minat</x:v>
      </x:c>
      <x:c r="M228" s="24" t="str">
        <x:f>IF(L228=G228,"Sesuai label latih","Berbeda dari label latih")</x:f>
        <x:v>Sesuai label latih</x:v>
      </x:c>
    </x:row>
    <x:row r="229">
      <x:c r="A229" s="24" t="n">
        <x:v>228</x:v>
      </x:c>
      <x:c r="B229" s="24" t="str">
        <x:v>TSM1-L-025</x:v>
      </x:c>
      <x:c r="C229" s="24" t="str">
        <x:v>Siswa TSM1 L-025</x:v>
      </x:c>
      <x:c r="D229" s="24" t="str">
        <x:v>TSM / Teknik Sepeda Motor</x:v>
      </x:c>
      <x:c r="E229" s="24" t="str">
        <x:v>TSM 1</x:v>
      </x:c>
      <x:c r="F229" s="24" t="str">
        <x:v>Laki-laki</x:v>
      </x:c>
      <x:c r="G229" s="24" t="str">
        <x:v>Tidak minat</x:v>
      </x:c>
      <x:c r="H229" s="26" t="n">
        <x:f>Probabilitas!$C$4*INDEX(Probabilitas!$C$10:$C$11,MATCH(D229,Probabilitas!$A$10:$A$11,0))*INDEX(Probabilitas!$C$16:$C$22,MATCH(E229,Probabilitas!$A$16:$A$22,0))*INDEX(Probabilitas!$C$27:$C$28,MATCH(F229,Probabilitas!$A$27:$A$28,0))</x:f>
        <x:v>0.0000043025662753556825</x:v>
      </x:c>
      <x:c r="I229" s="26" t="n">
        <x:f>Probabilitas!$C$5*INDEX(Probabilitas!$E$10:$E$11,MATCH(D229,Probabilitas!$A$10:$A$11,0))*INDEX(Probabilitas!$E$16:$E$22,MATCH(E229,Probabilitas!$A$16:$A$22,0))*INDEX(Probabilitas!$E$27:$E$28,MATCH(F229,Probabilitas!$A$27:$A$28,0))</x:f>
        <x:v>0.14973050125660237</x:v>
      </x:c>
      <x:c r="J229" s="26" t="n">
        <x:f>IFERROR(H229/(H229+I229),0)</x:f>
        <x:v>0.00002873457716914777</x:v>
      </x:c>
      <x:c r="K229" s="26" t="n">
        <x:f>IFERROR(I229/(H229+I229),0)</x:f>
        <x:v>0.9999712654228309</x:v>
      </x:c>
      <x:c r="L229" s="24" t="str">
        <x:f>IF(J229&gt;=K229,"Minat","Tidak minat")</x:f>
        <x:v>Tidak minat</x:v>
      </x:c>
      <x:c r="M229" s="24" t="str">
        <x:f>IF(L229=G229,"Sesuai label latih","Berbeda dari label latih")</x:f>
        <x:v>Sesuai label latih</x:v>
      </x:c>
    </x:row>
    <x:row r="230">
      <x:c r="A230" s="24" t="n">
        <x:v>229</x:v>
      </x:c>
      <x:c r="B230" s="24" t="str">
        <x:v>TSM1-L-026</x:v>
      </x:c>
      <x:c r="C230" s="24" t="str">
        <x:v>Siswa TSM1 L-026</x:v>
      </x:c>
      <x:c r="D230" s="24" t="str">
        <x:v>TSM / Teknik Sepeda Motor</x:v>
      </x:c>
      <x:c r="E230" s="24" t="str">
        <x:v>TSM 1</x:v>
      </x:c>
      <x:c r="F230" s="24" t="str">
        <x:v>Laki-laki</x:v>
      </x:c>
      <x:c r="G230" s="24" t="str">
        <x:v>Tidak minat</x:v>
      </x:c>
      <x:c r="H230" s="26" t="n">
        <x:f>Probabilitas!$C$4*INDEX(Probabilitas!$C$10:$C$11,MATCH(D230,Probabilitas!$A$10:$A$11,0))*INDEX(Probabilitas!$C$16:$C$22,MATCH(E230,Probabilitas!$A$16:$A$22,0))*INDEX(Probabilitas!$C$27:$C$28,MATCH(F230,Probabilitas!$A$27:$A$28,0))</x:f>
        <x:v>0.0000043025662753556825</x:v>
      </x:c>
      <x:c r="I230" s="26" t="n">
        <x:f>Probabilitas!$C$5*INDEX(Probabilitas!$E$10:$E$11,MATCH(D230,Probabilitas!$A$10:$A$11,0))*INDEX(Probabilitas!$E$16:$E$22,MATCH(E230,Probabilitas!$A$16:$A$22,0))*INDEX(Probabilitas!$E$27:$E$28,MATCH(F230,Probabilitas!$A$27:$A$28,0))</x:f>
        <x:v>0.14973050125660237</x:v>
      </x:c>
      <x:c r="J230" s="26" t="n">
        <x:f>IFERROR(H230/(H230+I230),0)</x:f>
        <x:v>0.00002873457716914777</x:v>
      </x:c>
      <x:c r="K230" s="26" t="n">
        <x:f>IFERROR(I230/(H230+I230),0)</x:f>
        <x:v>0.9999712654228309</x:v>
      </x:c>
      <x:c r="L230" s="24" t="str">
        <x:f>IF(J230&gt;=K230,"Minat","Tidak minat")</x:f>
        <x:v>Tidak minat</x:v>
      </x:c>
      <x:c r="M230" s="24" t="str">
        <x:f>IF(L230=G230,"Sesuai label latih","Berbeda dari label latih")</x:f>
        <x:v>Sesuai label latih</x:v>
      </x:c>
    </x:row>
    <x:row r="231">
      <x:c r="A231" s="24" t="n">
        <x:v>230</x:v>
      </x:c>
      <x:c r="B231" s="24" t="str">
        <x:v>TSM1-L-027</x:v>
      </x:c>
      <x:c r="C231" s="24" t="str">
        <x:v>Siswa TSM1 L-027</x:v>
      </x:c>
      <x:c r="D231" s="24" t="str">
        <x:v>TSM / Teknik Sepeda Motor</x:v>
      </x:c>
      <x:c r="E231" s="24" t="str">
        <x:v>TSM 1</x:v>
      </x:c>
      <x:c r="F231" s="24" t="str">
        <x:v>Laki-laki</x:v>
      </x:c>
      <x:c r="G231" s="24" t="str">
        <x:v>Tidak minat</x:v>
      </x:c>
      <x:c r="H231" s="26" t="n">
        <x:f>Probabilitas!$C$4*INDEX(Probabilitas!$C$10:$C$11,MATCH(D231,Probabilitas!$A$10:$A$11,0))*INDEX(Probabilitas!$C$16:$C$22,MATCH(E231,Probabilitas!$A$16:$A$22,0))*INDEX(Probabilitas!$C$27:$C$28,MATCH(F231,Probabilitas!$A$27:$A$28,0))</x:f>
        <x:v>0.0000043025662753556825</x:v>
      </x:c>
      <x:c r="I231" s="26" t="n">
        <x:f>Probabilitas!$C$5*INDEX(Probabilitas!$E$10:$E$11,MATCH(D231,Probabilitas!$A$10:$A$11,0))*INDEX(Probabilitas!$E$16:$E$22,MATCH(E231,Probabilitas!$A$16:$A$22,0))*INDEX(Probabilitas!$E$27:$E$28,MATCH(F231,Probabilitas!$A$27:$A$28,0))</x:f>
        <x:v>0.14973050125660237</x:v>
      </x:c>
      <x:c r="J231" s="26" t="n">
        <x:f>IFERROR(H231/(H231+I231),0)</x:f>
        <x:v>0.00002873457716914777</x:v>
      </x:c>
      <x:c r="K231" s="26" t="n">
        <x:f>IFERROR(I231/(H231+I231),0)</x:f>
        <x:v>0.9999712654228309</x:v>
      </x:c>
      <x:c r="L231" s="24" t="str">
        <x:f>IF(J231&gt;=K231,"Minat","Tidak minat")</x:f>
        <x:v>Tidak minat</x:v>
      </x:c>
      <x:c r="M231" s="24" t="str">
        <x:f>IF(L231=G231,"Sesuai label latih","Berbeda dari label latih")</x:f>
        <x:v>Sesuai label latih</x:v>
      </x:c>
    </x:row>
    <x:row r="232">
      <x:c r="A232" s="24" t="n">
        <x:v>231</x:v>
      </x:c>
      <x:c r="B232" s="24" t="str">
        <x:v>TSM1-L-028</x:v>
      </x:c>
      <x:c r="C232" s="24" t="str">
        <x:v>Siswa TSM1 L-028</x:v>
      </x:c>
      <x:c r="D232" s="24" t="str">
        <x:v>TSM / Teknik Sepeda Motor</x:v>
      </x:c>
      <x:c r="E232" s="24" t="str">
        <x:v>TSM 1</x:v>
      </x:c>
      <x:c r="F232" s="24" t="str">
        <x:v>Laki-laki</x:v>
      </x:c>
      <x:c r="G232" s="24" t="str">
        <x:v>Tidak minat</x:v>
      </x:c>
      <x:c r="H232" s="26" t="n">
        <x:f>Probabilitas!$C$4*INDEX(Probabilitas!$C$10:$C$11,MATCH(D232,Probabilitas!$A$10:$A$11,0))*INDEX(Probabilitas!$C$16:$C$22,MATCH(E232,Probabilitas!$A$16:$A$22,0))*INDEX(Probabilitas!$C$27:$C$28,MATCH(F232,Probabilitas!$A$27:$A$28,0))</x:f>
        <x:v>0.0000043025662753556825</x:v>
      </x:c>
      <x:c r="I232" s="26" t="n">
        <x:f>Probabilitas!$C$5*INDEX(Probabilitas!$E$10:$E$11,MATCH(D232,Probabilitas!$A$10:$A$11,0))*INDEX(Probabilitas!$E$16:$E$22,MATCH(E232,Probabilitas!$A$16:$A$22,0))*INDEX(Probabilitas!$E$27:$E$28,MATCH(F232,Probabilitas!$A$27:$A$28,0))</x:f>
        <x:v>0.14973050125660237</x:v>
      </x:c>
      <x:c r="J232" s="26" t="n">
        <x:f>IFERROR(H232/(H232+I232),0)</x:f>
        <x:v>0.00002873457716914777</x:v>
      </x:c>
      <x:c r="K232" s="26" t="n">
        <x:f>IFERROR(I232/(H232+I232),0)</x:f>
        <x:v>0.9999712654228309</x:v>
      </x:c>
      <x:c r="L232" s="24" t="str">
        <x:f>IF(J232&gt;=K232,"Minat","Tidak minat")</x:f>
        <x:v>Tidak minat</x:v>
      </x:c>
      <x:c r="M232" s="24" t="str">
        <x:f>IF(L232=G232,"Sesuai label latih","Berbeda dari label latih")</x:f>
        <x:v>Sesuai label latih</x:v>
      </x:c>
    </x:row>
    <x:row r="233">
      <x:c r="A233" s="24" t="n">
        <x:v>232</x:v>
      </x:c>
      <x:c r="B233" s="24" t="str">
        <x:v>TSM1-L-029</x:v>
      </x:c>
      <x:c r="C233" s="24" t="str">
        <x:v>Siswa TSM1 L-029</x:v>
      </x:c>
      <x:c r="D233" s="24" t="str">
        <x:v>TSM / Teknik Sepeda Motor</x:v>
      </x:c>
      <x:c r="E233" s="24" t="str">
        <x:v>TSM 1</x:v>
      </x:c>
      <x:c r="F233" s="24" t="str">
        <x:v>Laki-laki</x:v>
      </x:c>
      <x:c r="G233" s="24" t="str">
        <x:v>Tidak minat</x:v>
      </x:c>
      <x:c r="H233" s="26" t="n">
        <x:f>Probabilitas!$C$4*INDEX(Probabilitas!$C$10:$C$11,MATCH(D233,Probabilitas!$A$10:$A$11,0))*INDEX(Probabilitas!$C$16:$C$22,MATCH(E233,Probabilitas!$A$16:$A$22,0))*INDEX(Probabilitas!$C$27:$C$28,MATCH(F233,Probabilitas!$A$27:$A$28,0))</x:f>
        <x:v>0.0000043025662753556825</x:v>
      </x:c>
      <x:c r="I233" s="26" t="n">
        <x:f>Probabilitas!$C$5*INDEX(Probabilitas!$E$10:$E$11,MATCH(D233,Probabilitas!$A$10:$A$11,0))*INDEX(Probabilitas!$E$16:$E$22,MATCH(E233,Probabilitas!$A$16:$A$22,0))*INDEX(Probabilitas!$E$27:$E$28,MATCH(F233,Probabilitas!$A$27:$A$28,0))</x:f>
        <x:v>0.14973050125660237</x:v>
      </x:c>
      <x:c r="J233" s="26" t="n">
        <x:f>IFERROR(H233/(H233+I233),0)</x:f>
        <x:v>0.00002873457716914777</x:v>
      </x:c>
      <x:c r="K233" s="26" t="n">
        <x:f>IFERROR(I233/(H233+I233),0)</x:f>
        <x:v>0.9999712654228309</x:v>
      </x:c>
      <x:c r="L233" s="24" t="str">
        <x:f>IF(J233&gt;=K233,"Minat","Tidak minat")</x:f>
        <x:v>Tidak minat</x:v>
      </x:c>
      <x:c r="M233" s="24" t="str">
        <x:f>IF(L233=G233,"Sesuai label latih","Berbeda dari label latih")</x:f>
        <x:v>Sesuai label latih</x:v>
      </x:c>
    </x:row>
    <x:row r="234">
      <x:c r="A234" s="24" t="n">
        <x:v>233</x:v>
      </x:c>
      <x:c r="B234" s="24" t="str">
        <x:v>TSM1-L-030</x:v>
      </x:c>
      <x:c r="C234" s="24" t="str">
        <x:v>Siswa TSM1 L-030</x:v>
      </x:c>
      <x:c r="D234" s="24" t="str">
        <x:v>TSM / Teknik Sepeda Motor</x:v>
      </x:c>
      <x:c r="E234" s="24" t="str">
        <x:v>TSM 1</x:v>
      </x:c>
      <x:c r="F234" s="24" t="str">
        <x:v>Laki-laki</x:v>
      </x:c>
      <x:c r="G234" s="24" t="str">
        <x:v>Tidak minat</x:v>
      </x:c>
      <x:c r="H234" s="26" t="n">
        <x:f>Probabilitas!$C$4*INDEX(Probabilitas!$C$10:$C$11,MATCH(D234,Probabilitas!$A$10:$A$11,0))*INDEX(Probabilitas!$C$16:$C$22,MATCH(E234,Probabilitas!$A$16:$A$22,0))*INDEX(Probabilitas!$C$27:$C$28,MATCH(F234,Probabilitas!$A$27:$A$28,0))</x:f>
        <x:v>0.0000043025662753556825</x:v>
      </x:c>
      <x:c r="I234" s="26" t="n">
        <x:f>Probabilitas!$C$5*INDEX(Probabilitas!$E$10:$E$11,MATCH(D234,Probabilitas!$A$10:$A$11,0))*INDEX(Probabilitas!$E$16:$E$22,MATCH(E234,Probabilitas!$A$16:$A$22,0))*INDEX(Probabilitas!$E$27:$E$28,MATCH(F234,Probabilitas!$A$27:$A$28,0))</x:f>
        <x:v>0.14973050125660237</x:v>
      </x:c>
      <x:c r="J234" s="26" t="n">
        <x:f>IFERROR(H234/(H234+I234),0)</x:f>
        <x:v>0.00002873457716914777</x:v>
      </x:c>
      <x:c r="K234" s="26" t="n">
        <x:f>IFERROR(I234/(H234+I234),0)</x:f>
        <x:v>0.9999712654228309</x:v>
      </x:c>
      <x:c r="L234" s="24" t="str">
        <x:f>IF(J234&gt;=K234,"Minat","Tidak minat")</x:f>
        <x:v>Tidak minat</x:v>
      </x:c>
      <x:c r="M234" s="24" t="str">
        <x:f>IF(L234=G234,"Sesuai label latih","Berbeda dari label latih")</x:f>
        <x:v>Sesuai label latih</x:v>
      </x:c>
    </x:row>
    <x:row r="235">
      <x:c r="A235" s="24" t="n">
        <x:v>234</x:v>
      </x:c>
      <x:c r="B235" s="24" t="str">
        <x:v>TSM1-L-031</x:v>
      </x:c>
      <x:c r="C235" s="24" t="str">
        <x:v>Siswa TSM1 L-031</x:v>
      </x:c>
      <x:c r="D235" s="24" t="str">
        <x:v>TSM / Teknik Sepeda Motor</x:v>
      </x:c>
      <x:c r="E235" s="24" t="str">
        <x:v>TSM 1</x:v>
      </x:c>
      <x:c r="F235" s="24" t="str">
        <x:v>Laki-laki</x:v>
      </x:c>
      <x:c r="G235" s="24" t="str">
        <x:v>Tidak minat</x:v>
      </x:c>
      <x:c r="H235" s="26" t="n">
        <x:f>Probabilitas!$C$4*INDEX(Probabilitas!$C$10:$C$11,MATCH(D235,Probabilitas!$A$10:$A$11,0))*INDEX(Probabilitas!$C$16:$C$22,MATCH(E235,Probabilitas!$A$16:$A$22,0))*INDEX(Probabilitas!$C$27:$C$28,MATCH(F235,Probabilitas!$A$27:$A$28,0))</x:f>
        <x:v>0.0000043025662753556825</x:v>
      </x:c>
      <x:c r="I235" s="26" t="n">
        <x:f>Probabilitas!$C$5*INDEX(Probabilitas!$E$10:$E$11,MATCH(D235,Probabilitas!$A$10:$A$11,0))*INDEX(Probabilitas!$E$16:$E$22,MATCH(E235,Probabilitas!$A$16:$A$22,0))*INDEX(Probabilitas!$E$27:$E$28,MATCH(F235,Probabilitas!$A$27:$A$28,0))</x:f>
        <x:v>0.14973050125660237</x:v>
      </x:c>
      <x:c r="J235" s="26" t="n">
        <x:f>IFERROR(H235/(H235+I235),0)</x:f>
        <x:v>0.00002873457716914777</x:v>
      </x:c>
      <x:c r="K235" s="26" t="n">
        <x:f>IFERROR(I235/(H235+I235),0)</x:f>
        <x:v>0.9999712654228309</x:v>
      </x:c>
      <x:c r="L235" s="24" t="str">
        <x:f>IF(J235&gt;=K235,"Minat","Tidak minat")</x:f>
        <x:v>Tidak minat</x:v>
      </x:c>
      <x:c r="M235" s="24" t="str">
        <x:f>IF(L235=G235,"Sesuai label latih","Berbeda dari label latih")</x:f>
        <x:v>Sesuai label latih</x:v>
      </x:c>
    </x:row>
    <x:row r="236">
      <x:c r="A236" s="24" t="n">
        <x:v>235</x:v>
      </x:c>
      <x:c r="B236" s="24" t="str">
        <x:v>TSM1-L-032</x:v>
      </x:c>
      <x:c r="C236" s="24" t="str">
        <x:v>Siswa TSM1 L-032</x:v>
      </x:c>
      <x:c r="D236" s="24" t="str">
        <x:v>TSM / Teknik Sepeda Motor</x:v>
      </x:c>
      <x:c r="E236" s="24" t="str">
        <x:v>TSM 1</x:v>
      </x:c>
      <x:c r="F236" s="24" t="str">
        <x:v>Laki-laki</x:v>
      </x:c>
      <x:c r="G236" s="24" t="str">
        <x:v>Tidak minat</x:v>
      </x:c>
      <x:c r="H236" s="26" t="n">
        <x:f>Probabilitas!$C$4*INDEX(Probabilitas!$C$10:$C$11,MATCH(D236,Probabilitas!$A$10:$A$11,0))*INDEX(Probabilitas!$C$16:$C$22,MATCH(E236,Probabilitas!$A$16:$A$22,0))*INDEX(Probabilitas!$C$27:$C$28,MATCH(F236,Probabilitas!$A$27:$A$28,0))</x:f>
        <x:v>0.0000043025662753556825</x:v>
      </x:c>
      <x:c r="I236" s="26" t="n">
        <x:f>Probabilitas!$C$5*INDEX(Probabilitas!$E$10:$E$11,MATCH(D236,Probabilitas!$A$10:$A$11,0))*INDEX(Probabilitas!$E$16:$E$22,MATCH(E236,Probabilitas!$A$16:$A$22,0))*INDEX(Probabilitas!$E$27:$E$28,MATCH(F236,Probabilitas!$A$27:$A$28,0))</x:f>
        <x:v>0.14973050125660237</x:v>
      </x:c>
      <x:c r="J236" s="26" t="n">
        <x:f>IFERROR(H236/(H236+I236),0)</x:f>
        <x:v>0.00002873457716914777</x:v>
      </x:c>
      <x:c r="K236" s="26" t="n">
        <x:f>IFERROR(I236/(H236+I236),0)</x:f>
        <x:v>0.9999712654228309</x:v>
      </x:c>
      <x:c r="L236" s="24" t="str">
        <x:f>IF(J236&gt;=K236,"Minat","Tidak minat")</x:f>
        <x:v>Tidak minat</x:v>
      </x:c>
      <x:c r="M236" s="24" t="str">
        <x:f>IF(L236=G236,"Sesuai label latih","Berbeda dari label latih")</x:f>
        <x:v>Sesuai label latih</x:v>
      </x:c>
    </x:row>
    <x:row r="237">
      <x:c r="A237" s="24" t="n">
        <x:v>236</x:v>
      </x:c>
      <x:c r="B237" s="24" t="str">
        <x:v>TSM1-L-033</x:v>
      </x:c>
      <x:c r="C237" s="24" t="str">
        <x:v>Siswa TSM1 L-033</x:v>
      </x:c>
      <x:c r="D237" s="24" t="str">
        <x:v>TSM / Teknik Sepeda Motor</x:v>
      </x:c>
      <x:c r="E237" s="24" t="str">
        <x:v>TSM 1</x:v>
      </x:c>
      <x:c r="F237" s="24" t="str">
        <x:v>Laki-laki</x:v>
      </x:c>
      <x:c r="G237" s="24" t="str">
        <x:v>Tidak minat</x:v>
      </x:c>
      <x:c r="H237" s="26" t="n">
        <x:f>Probabilitas!$C$4*INDEX(Probabilitas!$C$10:$C$11,MATCH(D237,Probabilitas!$A$10:$A$11,0))*INDEX(Probabilitas!$C$16:$C$22,MATCH(E237,Probabilitas!$A$16:$A$22,0))*INDEX(Probabilitas!$C$27:$C$28,MATCH(F237,Probabilitas!$A$27:$A$28,0))</x:f>
        <x:v>0.0000043025662753556825</x:v>
      </x:c>
      <x:c r="I237" s="26" t="n">
        <x:f>Probabilitas!$C$5*INDEX(Probabilitas!$E$10:$E$11,MATCH(D237,Probabilitas!$A$10:$A$11,0))*INDEX(Probabilitas!$E$16:$E$22,MATCH(E237,Probabilitas!$A$16:$A$22,0))*INDEX(Probabilitas!$E$27:$E$28,MATCH(F237,Probabilitas!$A$27:$A$28,0))</x:f>
        <x:v>0.14973050125660237</x:v>
      </x:c>
      <x:c r="J237" s="26" t="n">
        <x:f>IFERROR(H237/(H237+I237),0)</x:f>
        <x:v>0.00002873457716914777</x:v>
      </x:c>
      <x:c r="K237" s="26" t="n">
        <x:f>IFERROR(I237/(H237+I237),0)</x:f>
        <x:v>0.9999712654228309</x:v>
      </x:c>
      <x:c r="L237" s="24" t="str">
        <x:f>IF(J237&gt;=K237,"Minat","Tidak minat")</x:f>
        <x:v>Tidak minat</x:v>
      </x:c>
      <x:c r="M237" s="24" t="str">
        <x:f>IF(L237=G237,"Sesuai label latih","Berbeda dari label latih")</x:f>
        <x:v>Sesuai label latih</x:v>
      </x:c>
    </x:row>
    <x:row r="238">
      <x:c r="A238" s="24" t="n">
        <x:v>237</x:v>
      </x:c>
      <x:c r="B238" s="24" t="str">
        <x:v>TSM1-L-034</x:v>
      </x:c>
      <x:c r="C238" s="24" t="str">
        <x:v>Siswa TSM1 L-034</x:v>
      </x:c>
      <x:c r="D238" s="24" t="str">
        <x:v>TSM / Teknik Sepeda Motor</x:v>
      </x:c>
      <x:c r="E238" s="24" t="str">
        <x:v>TSM 1</x:v>
      </x:c>
      <x:c r="F238" s="24" t="str">
        <x:v>Laki-laki</x:v>
      </x:c>
      <x:c r="G238" s="24" t="str">
        <x:v>Tidak minat</x:v>
      </x:c>
      <x:c r="H238" s="26" t="n">
        <x:f>Probabilitas!$C$4*INDEX(Probabilitas!$C$10:$C$11,MATCH(D238,Probabilitas!$A$10:$A$11,0))*INDEX(Probabilitas!$C$16:$C$22,MATCH(E238,Probabilitas!$A$16:$A$22,0))*INDEX(Probabilitas!$C$27:$C$28,MATCH(F238,Probabilitas!$A$27:$A$28,0))</x:f>
        <x:v>0.0000043025662753556825</x:v>
      </x:c>
      <x:c r="I238" s="26" t="n">
        <x:f>Probabilitas!$C$5*INDEX(Probabilitas!$E$10:$E$11,MATCH(D238,Probabilitas!$A$10:$A$11,0))*INDEX(Probabilitas!$E$16:$E$22,MATCH(E238,Probabilitas!$A$16:$A$22,0))*INDEX(Probabilitas!$E$27:$E$28,MATCH(F238,Probabilitas!$A$27:$A$28,0))</x:f>
        <x:v>0.14973050125660237</x:v>
      </x:c>
      <x:c r="J238" s="26" t="n">
        <x:f>IFERROR(H238/(H238+I238),0)</x:f>
        <x:v>0.00002873457716914777</x:v>
      </x:c>
      <x:c r="K238" s="26" t="n">
        <x:f>IFERROR(I238/(H238+I238),0)</x:f>
        <x:v>0.9999712654228309</x:v>
      </x:c>
      <x:c r="L238" s="24" t="str">
        <x:f>IF(J238&gt;=K238,"Minat","Tidak minat")</x:f>
        <x:v>Tidak minat</x:v>
      </x:c>
      <x:c r="M238" s="24" t="str">
        <x:f>IF(L238=G238,"Sesuai label latih","Berbeda dari label latih")</x:f>
        <x:v>Sesuai label latih</x:v>
      </x:c>
    </x:row>
    <x:row r="239">
      <x:c r="A239" s="24" t="n">
        <x:v>238</x:v>
      </x:c>
      <x:c r="B239" s="24" t="str">
        <x:v>TSM1-L-035</x:v>
      </x:c>
      <x:c r="C239" s="24" t="str">
        <x:v>Siswa TSM1 L-035</x:v>
      </x:c>
      <x:c r="D239" s="24" t="str">
        <x:v>TSM / Teknik Sepeda Motor</x:v>
      </x:c>
      <x:c r="E239" s="24" t="str">
        <x:v>TSM 1</x:v>
      </x:c>
      <x:c r="F239" s="24" t="str">
        <x:v>Laki-laki</x:v>
      </x:c>
      <x:c r="G239" s="24" t="str">
        <x:v>Tidak minat</x:v>
      </x:c>
      <x:c r="H239" s="26" t="n">
        <x:f>Probabilitas!$C$4*INDEX(Probabilitas!$C$10:$C$11,MATCH(D239,Probabilitas!$A$10:$A$11,0))*INDEX(Probabilitas!$C$16:$C$22,MATCH(E239,Probabilitas!$A$16:$A$22,0))*INDEX(Probabilitas!$C$27:$C$28,MATCH(F239,Probabilitas!$A$27:$A$28,0))</x:f>
        <x:v>0.0000043025662753556825</x:v>
      </x:c>
      <x:c r="I239" s="26" t="n">
        <x:f>Probabilitas!$C$5*INDEX(Probabilitas!$E$10:$E$11,MATCH(D239,Probabilitas!$A$10:$A$11,0))*INDEX(Probabilitas!$E$16:$E$22,MATCH(E239,Probabilitas!$A$16:$A$22,0))*INDEX(Probabilitas!$E$27:$E$28,MATCH(F239,Probabilitas!$A$27:$A$28,0))</x:f>
        <x:v>0.14973050125660237</x:v>
      </x:c>
      <x:c r="J239" s="26" t="n">
        <x:f>IFERROR(H239/(H239+I239),0)</x:f>
        <x:v>0.00002873457716914777</x:v>
      </x:c>
      <x:c r="K239" s="26" t="n">
        <x:f>IFERROR(I239/(H239+I239),0)</x:f>
        <x:v>0.9999712654228309</x:v>
      </x:c>
      <x:c r="L239" s="24" t="str">
        <x:f>IF(J239&gt;=K239,"Minat","Tidak minat")</x:f>
        <x:v>Tidak minat</x:v>
      </x:c>
      <x:c r="M239" s="24" t="str">
        <x:f>IF(L239=G239,"Sesuai label latih","Berbeda dari label latih")</x:f>
        <x:v>Sesuai label latih</x:v>
      </x:c>
    </x:row>
    <x:row r="240">
      <x:c r="A240" s="24" t="n">
        <x:v>239</x:v>
      </x:c>
      <x:c r="B240" s="24" t="str">
        <x:v>TSM1-L-036</x:v>
      </x:c>
      <x:c r="C240" s="24" t="str">
        <x:v>Siswa TSM1 L-036</x:v>
      </x:c>
      <x:c r="D240" s="24" t="str">
        <x:v>TSM / Teknik Sepeda Motor</x:v>
      </x:c>
      <x:c r="E240" s="24" t="str">
        <x:v>TSM 1</x:v>
      </x:c>
      <x:c r="F240" s="24" t="str">
        <x:v>Laki-laki</x:v>
      </x:c>
      <x:c r="G240" s="24" t="str">
        <x:v>Tidak minat</x:v>
      </x:c>
      <x:c r="H240" s="26" t="n">
        <x:f>Probabilitas!$C$4*INDEX(Probabilitas!$C$10:$C$11,MATCH(D240,Probabilitas!$A$10:$A$11,0))*INDEX(Probabilitas!$C$16:$C$22,MATCH(E240,Probabilitas!$A$16:$A$22,0))*INDEX(Probabilitas!$C$27:$C$28,MATCH(F240,Probabilitas!$A$27:$A$28,0))</x:f>
        <x:v>0.0000043025662753556825</x:v>
      </x:c>
      <x:c r="I240" s="26" t="n">
        <x:f>Probabilitas!$C$5*INDEX(Probabilitas!$E$10:$E$11,MATCH(D240,Probabilitas!$A$10:$A$11,0))*INDEX(Probabilitas!$E$16:$E$22,MATCH(E240,Probabilitas!$A$16:$A$22,0))*INDEX(Probabilitas!$E$27:$E$28,MATCH(F240,Probabilitas!$A$27:$A$28,0))</x:f>
        <x:v>0.14973050125660237</x:v>
      </x:c>
      <x:c r="J240" s="26" t="n">
        <x:f>IFERROR(H240/(H240+I240),0)</x:f>
        <x:v>0.00002873457716914777</x:v>
      </x:c>
      <x:c r="K240" s="26" t="n">
        <x:f>IFERROR(I240/(H240+I240),0)</x:f>
        <x:v>0.9999712654228309</x:v>
      </x:c>
      <x:c r="L240" s="24" t="str">
        <x:f>IF(J240&gt;=K240,"Minat","Tidak minat")</x:f>
        <x:v>Tidak minat</x:v>
      </x:c>
      <x:c r="M240" s="24" t="str">
        <x:f>IF(L240=G240,"Sesuai label latih","Berbeda dari label latih")</x:f>
        <x:v>Sesuai label latih</x:v>
      </x:c>
    </x:row>
    <x:row r="241">
      <x:c r="A241" s="24" t="n">
        <x:v>240</x:v>
      </x:c>
      <x:c r="B241" s="24" t="str">
        <x:v>TSM1-L-037</x:v>
      </x:c>
      <x:c r="C241" s="24" t="str">
        <x:v>Siswa TSM1 L-037</x:v>
      </x:c>
      <x:c r="D241" s="24" t="str">
        <x:v>TSM / Teknik Sepeda Motor</x:v>
      </x:c>
      <x:c r="E241" s="24" t="str">
        <x:v>TSM 1</x:v>
      </x:c>
      <x:c r="F241" s="24" t="str">
        <x:v>Laki-laki</x:v>
      </x:c>
      <x:c r="G241" s="24" t="str">
        <x:v>Tidak minat</x:v>
      </x:c>
      <x:c r="H241" s="26" t="n">
        <x:f>Probabilitas!$C$4*INDEX(Probabilitas!$C$10:$C$11,MATCH(D241,Probabilitas!$A$10:$A$11,0))*INDEX(Probabilitas!$C$16:$C$22,MATCH(E241,Probabilitas!$A$16:$A$22,0))*INDEX(Probabilitas!$C$27:$C$28,MATCH(F241,Probabilitas!$A$27:$A$28,0))</x:f>
        <x:v>0.0000043025662753556825</x:v>
      </x:c>
      <x:c r="I241" s="26" t="n">
        <x:f>Probabilitas!$C$5*INDEX(Probabilitas!$E$10:$E$11,MATCH(D241,Probabilitas!$A$10:$A$11,0))*INDEX(Probabilitas!$E$16:$E$22,MATCH(E241,Probabilitas!$A$16:$A$22,0))*INDEX(Probabilitas!$E$27:$E$28,MATCH(F241,Probabilitas!$A$27:$A$28,0))</x:f>
        <x:v>0.14973050125660237</x:v>
      </x:c>
      <x:c r="J241" s="26" t="n">
        <x:f>IFERROR(H241/(H241+I241),0)</x:f>
        <x:v>0.00002873457716914777</x:v>
      </x:c>
      <x:c r="K241" s="26" t="n">
        <x:f>IFERROR(I241/(H241+I241),0)</x:f>
        <x:v>0.9999712654228309</x:v>
      </x:c>
      <x:c r="L241" s="24" t="str">
        <x:f>IF(J241&gt;=K241,"Minat","Tidak minat")</x:f>
        <x:v>Tidak minat</x:v>
      </x:c>
      <x:c r="M241" s="24" t="str">
        <x:f>IF(L241=G241,"Sesuai label latih","Berbeda dari label latih")</x:f>
        <x:v>Sesuai label latih</x:v>
      </x:c>
    </x:row>
    <x:row r="242">
      <x:c r="A242" s="24" t="n">
        <x:v>241</x:v>
      </x:c>
      <x:c r="B242" s="24" t="str">
        <x:v>TSM1-L-038</x:v>
      </x:c>
      <x:c r="C242" s="24" t="str">
        <x:v>Siswa TSM1 L-038</x:v>
      </x:c>
      <x:c r="D242" s="24" t="str">
        <x:v>TSM / Teknik Sepeda Motor</x:v>
      </x:c>
      <x:c r="E242" s="24" t="str">
        <x:v>TSM 1</x:v>
      </x:c>
      <x:c r="F242" s="24" t="str">
        <x:v>Laki-laki</x:v>
      </x:c>
      <x:c r="G242" s="24" t="str">
        <x:v>Tidak minat</x:v>
      </x:c>
      <x:c r="H242" s="26" t="n">
        <x:f>Probabilitas!$C$4*INDEX(Probabilitas!$C$10:$C$11,MATCH(D242,Probabilitas!$A$10:$A$11,0))*INDEX(Probabilitas!$C$16:$C$22,MATCH(E242,Probabilitas!$A$16:$A$22,0))*INDEX(Probabilitas!$C$27:$C$28,MATCH(F242,Probabilitas!$A$27:$A$28,0))</x:f>
        <x:v>0.0000043025662753556825</x:v>
      </x:c>
      <x:c r="I242" s="26" t="n">
        <x:f>Probabilitas!$C$5*INDEX(Probabilitas!$E$10:$E$11,MATCH(D242,Probabilitas!$A$10:$A$11,0))*INDEX(Probabilitas!$E$16:$E$22,MATCH(E242,Probabilitas!$A$16:$A$22,0))*INDEX(Probabilitas!$E$27:$E$28,MATCH(F242,Probabilitas!$A$27:$A$28,0))</x:f>
        <x:v>0.14973050125660237</x:v>
      </x:c>
      <x:c r="J242" s="26" t="n">
        <x:f>IFERROR(H242/(H242+I242),0)</x:f>
        <x:v>0.00002873457716914777</x:v>
      </x:c>
      <x:c r="K242" s="26" t="n">
        <x:f>IFERROR(I242/(H242+I242),0)</x:f>
        <x:v>0.9999712654228309</x:v>
      </x:c>
      <x:c r="L242" s="24" t="str">
        <x:f>IF(J242&gt;=K242,"Minat","Tidak minat")</x:f>
        <x:v>Tidak minat</x:v>
      </x:c>
      <x:c r="M242" s="24" t="str">
        <x:f>IF(L242=G242,"Sesuai label latih","Berbeda dari label latih")</x:f>
        <x:v>Sesuai label latih</x:v>
      </x:c>
    </x:row>
    <x:row r="243">
      <x:c r="A243" s="24" t="n">
        <x:v>242</x:v>
      </x:c>
      <x:c r="B243" s="24" t="str">
        <x:v>TSM1-L-039</x:v>
      </x:c>
      <x:c r="C243" s="24" t="str">
        <x:v>Siswa TSM1 L-039</x:v>
      </x:c>
      <x:c r="D243" s="24" t="str">
        <x:v>TSM / Teknik Sepeda Motor</x:v>
      </x:c>
      <x:c r="E243" s="24" t="str">
        <x:v>TSM 1</x:v>
      </x:c>
      <x:c r="F243" s="24" t="str">
        <x:v>Laki-laki</x:v>
      </x:c>
      <x:c r="G243" s="24" t="str">
        <x:v>Tidak minat</x:v>
      </x:c>
      <x:c r="H243" s="26" t="n">
        <x:f>Probabilitas!$C$4*INDEX(Probabilitas!$C$10:$C$11,MATCH(D243,Probabilitas!$A$10:$A$11,0))*INDEX(Probabilitas!$C$16:$C$22,MATCH(E243,Probabilitas!$A$16:$A$22,0))*INDEX(Probabilitas!$C$27:$C$28,MATCH(F243,Probabilitas!$A$27:$A$28,0))</x:f>
        <x:v>0.0000043025662753556825</x:v>
      </x:c>
      <x:c r="I243" s="26" t="n">
        <x:f>Probabilitas!$C$5*INDEX(Probabilitas!$E$10:$E$11,MATCH(D243,Probabilitas!$A$10:$A$11,0))*INDEX(Probabilitas!$E$16:$E$22,MATCH(E243,Probabilitas!$A$16:$A$22,0))*INDEX(Probabilitas!$E$27:$E$28,MATCH(F243,Probabilitas!$A$27:$A$28,0))</x:f>
        <x:v>0.14973050125660237</x:v>
      </x:c>
      <x:c r="J243" s="26" t="n">
        <x:f>IFERROR(H243/(H243+I243),0)</x:f>
        <x:v>0.00002873457716914777</x:v>
      </x:c>
      <x:c r="K243" s="26" t="n">
        <x:f>IFERROR(I243/(H243+I243),0)</x:f>
        <x:v>0.9999712654228309</x:v>
      </x:c>
      <x:c r="L243" s="24" t="str">
        <x:f>IF(J243&gt;=K243,"Minat","Tidak minat")</x:f>
        <x:v>Tidak minat</x:v>
      </x:c>
      <x:c r="M243" s="24" t="str">
        <x:f>IF(L243=G243,"Sesuai label latih","Berbeda dari label latih")</x:f>
        <x:v>Sesuai label latih</x:v>
      </x:c>
    </x:row>
    <x:row r="244">
      <x:c r="A244" s="24" t="n">
        <x:v>243</x:v>
      </x:c>
      <x:c r="B244" s="24" t="str">
        <x:v>TSM1-L-040</x:v>
      </x:c>
      <x:c r="C244" s="24" t="str">
        <x:v>Siswa TSM1 L-040</x:v>
      </x:c>
      <x:c r="D244" s="24" t="str">
        <x:v>TSM / Teknik Sepeda Motor</x:v>
      </x:c>
      <x:c r="E244" s="24" t="str">
        <x:v>TSM 1</x:v>
      </x:c>
      <x:c r="F244" s="24" t="str">
        <x:v>Laki-laki</x:v>
      </x:c>
      <x:c r="G244" s="24" t="str">
        <x:v>Tidak minat</x:v>
      </x:c>
      <x:c r="H244" s="26" t="n">
        <x:f>Probabilitas!$C$4*INDEX(Probabilitas!$C$10:$C$11,MATCH(D244,Probabilitas!$A$10:$A$11,0))*INDEX(Probabilitas!$C$16:$C$22,MATCH(E244,Probabilitas!$A$16:$A$22,0))*INDEX(Probabilitas!$C$27:$C$28,MATCH(F244,Probabilitas!$A$27:$A$28,0))</x:f>
        <x:v>0.0000043025662753556825</x:v>
      </x:c>
      <x:c r="I244" s="26" t="n">
        <x:f>Probabilitas!$C$5*INDEX(Probabilitas!$E$10:$E$11,MATCH(D244,Probabilitas!$A$10:$A$11,0))*INDEX(Probabilitas!$E$16:$E$22,MATCH(E244,Probabilitas!$A$16:$A$22,0))*INDEX(Probabilitas!$E$27:$E$28,MATCH(F244,Probabilitas!$A$27:$A$28,0))</x:f>
        <x:v>0.14973050125660237</x:v>
      </x:c>
      <x:c r="J244" s="26" t="n">
        <x:f>IFERROR(H244/(H244+I244),0)</x:f>
        <x:v>0.00002873457716914777</x:v>
      </x:c>
      <x:c r="K244" s="26" t="n">
        <x:f>IFERROR(I244/(H244+I244),0)</x:f>
        <x:v>0.9999712654228309</x:v>
      </x:c>
      <x:c r="L244" s="24" t="str">
        <x:f>IF(J244&gt;=K244,"Minat","Tidak minat")</x:f>
        <x:v>Tidak minat</x:v>
      </x:c>
      <x:c r="M244" s="24" t="str">
        <x:f>IF(L244=G244,"Sesuai label latih","Berbeda dari label latih")</x:f>
        <x:v>Sesuai label latih</x:v>
      </x:c>
    </x:row>
    <x:row r="245">
      <x:c r="A245" s="24" t="n">
        <x:v>244</x:v>
      </x:c>
      <x:c r="B245" s="24" t="str">
        <x:v>TSM1-L-041</x:v>
      </x:c>
      <x:c r="C245" s="24" t="str">
        <x:v>Siswa TSM1 L-041</x:v>
      </x:c>
      <x:c r="D245" s="24" t="str">
        <x:v>TSM / Teknik Sepeda Motor</x:v>
      </x:c>
      <x:c r="E245" s="24" t="str">
        <x:v>TSM 1</x:v>
      </x:c>
      <x:c r="F245" s="24" t="str">
        <x:v>Laki-laki</x:v>
      </x:c>
      <x:c r="G245" s="24" t="str">
        <x:v>Tidak minat</x:v>
      </x:c>
      <x:c r="H245" s="26" t="n">
        <x:f>Probabilitas!$C$4*INDEX(Probabilitas!$C$10:$C$11,MATCH(D245,Probabilitas!$A$10:$A$11,0))*INDEX(Probabilitas!$C$16:$C$22,MATCH(E245,Probabilitas!$A$16:$A$22,0))*INDEX(Probabilitas!$C$27:$C$28,MATCH(F245,Probabilitas!$A$27:$A$28,0))</x:f>
        <x:v>0.0000043025662753556825</x:v>
      </x:c>
      <x:c r="I245" s="26" t="n">
        <x:f>Probabilitas!$C$5*INDEX(Probabilitas!$E$10:$E$11,MATCH(D245,Probabilitas!$A$10:$A$11,0))*INDEX(Probabilitas!$E$16:$E$22,MATCH(E245,Probabilitas!$A$16:$A$22,0))*INDEX(Probabilitas!$E$27:$E$28,MATCH(F245,Probabilitas!$A$27:$A$28,0))</x:f>
        <x:v>0.14973050125660237</x:v>
      </x:c>
      <x:c r="J245" s="26" t="n">
        <x:f>IFERROR(H245/(H245+I245),0)</x:f>
        <x:v>0.00002873457716914777</x:v>
      </x:c>
      <x:c r="K245" s="26" t="n">
        <x:f>IFERROR(I245/(H245+I245),0)</x:f>
        <x:v>0.9999712654228309</x:v>
      </x:c>
      <x:c r="L245" s="24" t="str">
        <x:f>IF(J245&gt;=K245,"Minat","Tidak minat")</x:f>
        <x:v>Tidak minat</x:v>
      </x:c>
      <x:c r="M245" s="24" t="str">
        <x:f>IF(L245=G245,"Sesuai label latih","Berbeda dari label latih")</x:f>
        <x:v>Sesuai label latih</x:v>
      </x:c>
    </x:row>
    <x:row r="246">
      <x:c r="A246" s="24" t="n">
        <x:v>245</x:v>
      </x:c>
      <x:c r="B246" s="24" t="str">
        <x:v>TSM1-L-042</x:v>
      </x:c>
      <x:c r="C246" s="24" t="str">
        <x:v>Siswa TSM1 L-042</x:v>
      </x:c>
      <x:c r="D246" s="24" t="str">
        <x:v>TSM / Teknik Sepeda Motor</x:v>
      </x:c>
      <x:c r="E246" s="24" t="str">
        <x:v>TSM 1</x:v>
      </x:c>
      <x:c r="F246" s="24" t="str">
        <x:v>Laki-laki</x:v>
      </x:c>
      <x:c r="G246" s="24" t="str">
        <x:v>Tidak minat</x:v>
      </x:c>
      <x:c r="H246" s="26" t="n">
        <x:f>Probabilitas!$C$4*INDEX(Probabilitas!$C$10:$C$11,MATCH(D246,Probabilitas!$A$10:$A$11,0))*INDEX(Probabilitas!$C$16:$C$22,MATCH(E246,Probabilitas!$A$16:$A$22,0))*INDEX(Probabilitas!$C$27:$C$28,MATCH(F246,Probabilitas!$A$27:$A$28,0))</x:f>
        <x:v>0.0000043025662753556825</x:v>
      </x:c>
      <x:c r="I246" s="26" t="n">
        <x:f>Probabilitas!$C$5*INDEX(Probabilitas!$E$10:$E$11,MATCH(D246,Probabilitas!$A$10:$A$11,0))*INDEX(Probabilitas!$E$16:$E$22,MATCH(E246,Probabilitas!$A$16:$A$22,0))*INDEX(Probabilitas!$E$27:$E$28,MATCH(F246,Probabilitas!$A$27:$A$28,0))</x:f>
        <x:v>0.14973050125660237</x:v>
      </x:c>
      <x:c r="J246" s="26" t="n">
        <x:f>IFERROR(H246/(H246+I246),0)</x:f>
        <x:v>0.00002873457716914777</x:v>
      </x:c>
      <x:c r="K246" s="26" t="n">
        <x:f>IFERROR(I246/(H246+I246),0)</x:f>
        <x:v>0.9999712654228309</x:v>
      </x:c>
      <x:c r="L246" s="24" t="str">
        <x:f>IF(J246&gt;=K246,"Minat","Tidak minat")</x:f>
        <x:v>Tidak minat</x:v>
      </x:c>
      <x:c r="M246" s="24" t="str">
        <x:f>IF(L246=G246,"Sesuai label latih","Berbeda dari label latih")</x:f>
        <x:v>Sesuai label latih</x:v>
      </x:c>
    </x:row>
    <x:row r="247">
      <x:c r="A247" s="24" t="n">
        <x:v>246</x:v>
      </x:c>
      <x:c r="B247" s="24" t="str">
        <x:v>TSM1-L-043</x:v>
      </x:c>
      <x:c r="C247" s="24" t="str">
        <x:v>Siswa TSM1 L-043</x:v>
      </x:c>
      <x:c r="D247" s="24" t="str">
        <x:v>TSM / Teknik Sepeda Motor</x:v>
      </x:c>
      <x:c r="E247" s="24" t="str">
        <x:v>TSM 1</x:v>
      </x:c>
      <x:c r="F247" s="24" t="str">
        <x:v>Laki-laki</x:v>
      </x:c>
      <x:c r="G247" s="24" t="str">
        <x:v>Tidak minat</x:v>
      </x:c>
      <x:c r="H247" s="26" t="n">
        <x:f>Probabilitas!$C$4*INDEX(Probabilitas!$C$10:$C$11,MATCH(D247,Probabilitas!$A$10:$A$11,0))*INDEX(Probabilitas!$C$16:$C$22,MATCH(E247,Probabilitas!$A$16:$A$22,0))*INDEX(Probabilitas!$C$27:$C$28,MATCH(F247,Probabilitas!$A$27:$A$28,0))</x:f>
        <x:v>0.0000043025662753556825</x:v>
      </x:c>
      <x:c r="I247" s="26" t="n">
        <x:f>Probabilitas!$C$5*INDEX(Probabilitas!$E$10:$E$11,MATCH(D247,Probabilitas!$A$10:$A$11,0))*INDEX(Probabilitas!$E$16:$E$22,MATCH(E247,Probabilitas!$A$16:$A$22,0))*INDEX(Probabilitas!$E$27:$E$28,MATCH(F247,Probabilitas!$A$27:$A$28,0))</x:f>
        <x:v>0.14973050125660237</x:v>
      </x:c>
      <x:c r="J247" s="26" t="n">
        <x:f>IFERROR(H247/(H247+I247),0)</x:f>
        <x:v>0.00002873457716914777</x:v>
      </x:c>
      <x:c r="K247" s="26" t="n">
        <x:f>IFERROR(I247/(H247+I247),0)</x:f>
        <x:v>0.9999712654228309</x:v>
      </x:c>
      <x:c r="L247" s="24" t="str">
        <x:f>IF(J247&gt;=K247,"Minat","Tidak minat")</x:f>
        <x:v>Tidak minat</x:v>
      </x:c>
      <x:c r="M247" s="24" t="str">
        <x:f>IF(L247=G247,"Sesuai label latih","Berbeda dari label latih")</x:f>
        <x:v>Sesuai label latih</x:v>
      </x:c>
    </x:row>
    <x:row r="248">
      <x:c r="A248" s="24" t="n">
        <x:v>247</x:v>
      </x:c>
      <x:c r="B248" s="24" t="str">
        <x:v>TSM1-L-044</x:v>
      </x:c>
      <x:c r="C248" s="24" t="str">
        <x:v>Siswa TSM1 L-044</x:v>
      </x:c>
      <x:c r="D248" s="24" t="str">
        <x:v>TSM / Teknik Sepeda Motor</x:v>
      </x:c>
      <x:c r="E248" s="24" t="str">
        <x:v>TSM 1</x:v>
      </x:c>
      <x:c r="F248" s="24" t="str">
        <x:v>Laki-laki</x:v>
      </x:c>
      <x:c r="G248" s="24" t="str">
        <x:v>Tidak minat</x:v>
      </x:c>
      <x:c r="H248" s="26" t="n">
        <x:f>Probabilitas!$C$4*INDEX(Probabilitas!$C$10:$C$11,MATCH(D248,Probabilitas!$A$10:$A$11,0))*INDEX(Probabilitas!$C$16:$C$22,MATCH(E248,Probabilitas!$A$16:$A$22,0))*INDEX(Probabilitas!$C$27:$C$28,MATCH(F248,Probabilitas!$A$27:$A$28,0))</x:f>
        <x:v>0.0000043025662753556825</x:v>
      </x:c>
      <x:c r="I248" s="26" t="n">
        <x:f>Probabilitas!$C$5*INDEX(Probabilitas!$E$10:$E$11,MATCH(D248,Probabilitas!$A$10:$A$11,0))*INDEX(Probabilitas!$E$16:$E$22,MATCH(E248,Probabilitas!$A$16:$A$22,0))*INDEX(Probabilitas!$E$27:$E$28,MATCH(F248,Probabilitas!$A$27:$A$28,0))</x:f>
        <x:v>0.14973050125660237</x:v>
      </x:c>
      <x:c r="J248" s="26" t="n">
        <x:f>IFERROR(H248/(H248+I248),0)</x:f>
        <x:v>0.00002873457716914777</x:v>
      </x:c>
      <x:c r="K248" s="26" t="n">
        <x:f>IFERROR(I248/(H248+I248),0)</x:f>
        <x:v>0.9999712654228309</x:v>
      </x:c>
      <x:c r="L248" s="24" t="str">
        <x:f>IF(J248&gt;=K248,"Minat","Tidak minat")</x:f>
        <x:v>Tidak minat</x:v>
      </x:c>
      <x:c r="M248" s="24" t="str">
        <x:f>IF(L248=G248,"Sesuai label latih","Berbeda dari label latih")</x:f>
        <x:v>Sesuai label latih</x:v>
      </x:c>
    </x:row>
    <x:row r="249">
      <x:c r="A249" s="24" t="n">
        <x:v>248</x:v>
      </x:c>
      <x:c r="B249" s="24" t="str">
        <x:v>TSM1-L-045</x:v>
      </x:c>
      <x:c r="C249" s="24" t="str">
        <x:v>Siswa TSM1 L-045</x:v>
      </x:c>
      <x:c r="D249" s="24" t="str">
        <x:v>TSM / Teknik Sepeda Motor</x:v>
      </x:c>
      <x:c r="E249" s="24" t="str">
        <x:v>TSM 1</x:v>
      </x:c>
      <x:c r="F249" s="24" t="str">
        <x:v>Laki-laki</x:v>
      </x:c>
      <x:c r="G249" s="24" t="str">
        <x:v>Tidak minat</x:v>
      </x:c>
      <x:c r="H249" s="26" t="n">
        <x:f>Probabilitas!$C$4*INDEX(Probabilitas!$C$10:$C$11,MATCH(D249,Probabilitas!$A$10:$A$11,0))*INDEX(Probabilitas!$C$16:$C$22,MATCH(E249,Probabilitas!$A$16:$A$22,0))*INDEX(Probabilitas!$C$27:$C$28,MATCH(F249,Probabilitas!$A$27:$A$28,0))</x:f>
        <x:v>0.0000043025662753556825</x:v>
      </x:c>
      <x:c r="I249" s="26" t="n">
        <x:f>Probabilitas!$C$5*INDEX(Probabilitas!$E$10:$E$11,MATCH(D249,Probabilitas!$A$10:$A$11,0))*INDEX(Probabilitas!$E$16:$E$22,MATCH(E249,Probabilitas!$A$16:$A$22,0))*INDEX(Probabilitas!$E$27:$E$28,MATCH(F249,Probabilitas!$A$27:$A$28,0))</x:f>
        <x:v>0.14973050125660237</x:v>
      </x:c>
      <x:c r="J249" s="26" t="n">
        <x:f>IFERROR(H249/(H249+I249),0)</x:f>
        <x:v>0.00002873457716914777</x:v>
      </x:c>
      <x:c r="K249" s="26" t="n">
        <x:f>IFERROR(I249/(H249+I249),0)</x:f>
        <x:v>0.9999712654228309</x:v>
      </x:c>
      <x:c r="L249" s="24" t="str">
        <x:f>IF(J249&gt;=K249,"Minat","Tidak minat")</x:f>
        <x:v>Tidak minat</x:v>
      </x:c>
      <x:c r="M249" s="24" t="str">
        <x:f>IF(L249=G249,"Sesuai label latih","Berbeda dari label latih")</x:f>
        <x:v>Sesuai label latih</x:v>
      </x:c>
    </x:row>
    <x:row r="250">
      <x:c r="A250" s="24" t="n">
        <x:v>249</x:v>
      </x:c>
      <x:c r="B250" s="24" t="str">
        <x:v>TSM1-L-046</x:v>
      </x:c>
      <x:c r="C250" s="24" t="str">
        <x:v>Siswa TSM1 L-046</x:v>
      </x:c>
      <x:c r="D250" s="24" t="str">
        <x:v>TSM / Teknik Sepeda Motor</x:v>
      </x:c>
      <x:c r="E250" s="24" t="str">
        <x:v>TSM 1</x:v>
      </x:c>
      <x:c r="F250" s="24" t="str">
        <x:v>Laki-laki</x:v>
      </x:c>
      <x:c r="G250" s="24" t="str">
        <x:v>Tidak minat</x:v>
      </x:c>
      <x:c r="H250" s="26" t="n">
        <x:f>Probabilitas!$C$4*INDEX(Probabilitas!$C$10:$C$11,MATCH(D250,Probabilitas!$A$10:$A$11,0))*INDEX(Probabilitas!$C$16:$C$22,MATCH(E250,Probabilitas!$A$16:$A$22,0))*INDEX(Probabilitas!$C$27:$C$28,MATCH(F250,Probabilitas!$A$27:$A$28,0))</x:f>
        <x:v>0.0000043025662753556825</x:v>
      </x:c>
      <x:c r="I250" s="26" t="n">
        <x:f>Probabilitas!$C$5*INDEX(Probabilitas!$E$10:$E$11,MATCH(D250,Probabilitas!$A$10:$A$11,0))*INDEX(Probabilitas!$E$16:$E$22,MATCH(E250,Probabilitas!$A$16:$A$22,0))*INDEX(Probabilitas!$E$27:$E$28,MATCH(F250,Probabilitas!$A$27:$A$28,0))</x:f>
        <x:v>0.14973050125660237</x:v>
      </x:c>
      <x:c r="J250" s="26" t="n">
        <x:f>IFERROR(H250/(H250+I250),0)</x:f>
        <x:v>0.00002873457716914777</x:v>
      </x:c>
      <x:c r="K250" s="26" t="n">
        <x:f>IFERROR(I250/(H250+I250),0)</x:f>
        <x:v>0.9999712654228309</x:v>
      </x:c>
      <x:c r="L250" s="24" t="str">
        <x:f>IF(J250&gt;=K250,"Minat","Tidak minat")</x:f>
        <x:v>Tidak minat</x:v>
      </x:c>
      <x:c r="M250" s="24" t="str">
        <x:f>IF(L250=G250,"Sesuai label latih","Berbeda dari label latih")</x:f>
        <x:v>Sesuai label latih</x:v>
      </x:c>
    </x:row>
    <x:row r="251">
      <x:c r="A251" s="24" t="n">
        <x:v>250</x:v>
      </x:c>
      <x:c r="B251" s="24" t="str">
        <x:v>TSM1-L-047</x:v>
      </x:c>
      <x:c r="C251" s="24" t="str">
        <x:v>Siswa TSM1 L-047</x:v>
      </x:c>
      <x:c r="D251" s="24" t="str">
        <x:v>TSM / Teknik Sepeda Motor</x:v>
      </x:c>
      <x:c r="E251" s="24" t="str">
        <x:v>TSM 1</x:v>
      </x:c>
      <x:c r="F251" s="24" t="str">
        <x:v>Laki-laki</x:v>
      </x:c>
      <x:c r="G251" s="24" t="str">
        <x:v>Tidak minat</x:v>
      </x:c>
      <x:c r="H251" s="26" t="n">
        <x:f>Probabilitas!$C$4*INDEX(Probabilitas!$C$10:$C$11,MATCH(D251,Probabilitas!$A$10:$A$11,0))*INDEX(Probabilitas!$C$16:$C$22,MATCH(E251,Probabilitas!$A$16:$A$22,0))*INDEX(Probabilitas!$C$27:$C$28,MATCH(F251,Probabilitas!$A$27:$A$28,0))</x:f>
        <x:v>0.0000043025662753556825</x:v>
      </x:c>
      <x:c r="I251" s="26" t="n">
        <x:f>Probabilitas!$C$5*INDEX(Probabilitas!$E$10:$E$11,MATCH(D251,Probabilitas!$A$10:$A$11,0))*INDEX(Probabilitas!$E$16:$E$22,MATCH(E251,Probabilitas!$A$16:$A$22,0))*INDEX(Probabilitas!$E$27:$E$28,MATCH(F251,Probabilitas!$A$27:$A$28,0))</x:f>
        <x:v>0.14973050125660237</x:v>
      </x:c>
      <x:c r="J251" s="26" t="n">
        <x:f>IFERROR(H251/(H251+I251),0)</x:f>
        <x:v>0.00002873457716914777</x:v>
      </x:c>
      <x:c r="K251" s="26" t="n">
        <x:f>IFERROR(I251/(H251+I251),0)</x:f>
        <x:v>0.9999712654228309</x:v>
      </x:c>
      <x:c r="L251" s="24" t="str">
        <x:f>IF(J251&gt;=K251,"Minat","Tidak minat")</x:f>
        <x:v>Tidak minat</x:v>
      </x:c>
      <x:c r="M251" s="24" t="str">
        <x:f>IF(L251=G251,"Sesuai label latih","Berbeda dari label latih")</x:f>
        <x:v>Sesuai label latih</x:v>
      </x:c>
    </x:row>
    <x:row r="252">
      <x:c r="A252" s="24" t="n">
        <x:v>251</x:v>
      </x:c>
      <x:c r="B252" s="24" t="str">
        <x:v>TSM1-L-048</x:v>
      </x:c>
      <x:c r="C252" s="24" t="str">
        <x:v>Siswa TSM1 L-048</x:v>
      </x:c>
      <x:c r="D252" s="24" t="str">
        <x:v>TSM / Teknik Sepeda Motor</x:v>
      </x:c>
      <x:c r="E252" s="24" t="str">
        <x:v>TSM 1</x:v>
      </x:c>
      <x:c r="F252" s="24" t="str">
        <x:v>Laki-laki</x:v>
      </x:c>
      <x:c r="G252" s="24" t="str">
        <x:v>Tidak minat</x:v>
      </x:c>
      <x:c r="H252" s="26" t="n">
        <x:f>Probabilitas!$C$4*INDEX(Probabilitas!$C$10:$C$11,MATCH(D252,Probabilitas!$A$10:$A$11,0))*INDEX(Probabilitas!$C$16:$C$22,MATCH(E252,Probabilitas!$A$16:$A$22,0))*INDEX(Probabilitas!$C$27:$C$28,MATCH(F252,Probabilitas!$A$27:$A$28,0))</x:f>
        <x:v>0.0000043025662753556825</x:v>
      </x:c>
      <x:c r="I252" s="26" t="n">
        <x:f>Probabilitas!$C$5*INDEX(Probabilitas!$E$10:$E$11,MATCH(D252,Probabilitas!$A$10:$A$11,0))*INDEX(Probabilitas!$E$16:$E$22,MATCH(E252,Probabilitas!$A$16:$A$22,0))*INDEX(Probabilitas!$E$27:$E$28,MATCH(F252,Probabilitas!$A$27:$A$28,0))</x:f>
        <x:v>0.14973050125660237</x:v>
      </x:c>
      <x:c r="J252" s="26" t="n">
        <x:f>IFERROR(H252/(H252+I252),0)</x:f>
        <x:v>0.00002873457716914777</x:v>
      </x:c>
      <x:c r="K252" s="26" t="n">
        <x:f>IFERROR(I252/(H252+I252),0)</x:f>
        <x:v>0.9999712654228309</x:v>
      </x:c>
      <x:c r="L252" s="24" t="str">
        <x:f>IF(J252&gt;=K252,"Minat","Tidak minat")</x:f>
        <x:v>Tidak minat</x:v>
      </x:c>
      <x:c r="M252" s="24" t="str">
        <x:f>IF(L252=G252,"Sesuai label latih","Berbeda dari label latih")</x:f>
        <x:v>Sesuai label latih</x:v>
      </x:c>
    </x:row>
    <x:row r="253">
      <x:c r="A253" s="24" t="n">
        <x:v>252</x:v>
      </x:c>
      <x:c r="B253" s="24" t="str">
        <x:v>TSM1-L-049</x:v>
      </x:c>
      <x:c r="C253" s="24" t="str">
        <x:v>Siswa TSM1 L-049</x:v>
      </x:c>
      <x:c r="D253" s="24" t="str">
        <x:v>TSM / Teknik Sepeda Motor</x:v>
      </x:c>
      <x:c r="E253" s="24" t="str">
        <x:v>TSM 1</x:v>
      </x:c>
      <x:c r="F253" s="24" t="str">
        <x:v>Laki-laki</x:v>
      </x:c>
      <x:c r="G253" s="24" t="str">
        <x:v>Tidak minat</x:v>
      </x:c>
      <x:c r="H253" s="26" t="n">
        <x:f>Probabilitas!$C$4*INDEX(Probabilitas!$C$10:$C$11,MATCH(D253,Probabilitas!$A$10:$A$11,0))*INDEX(Probabilitas!$C$16:$C$22,MATCH(E253,Probabilitas!$A$16:$A$22,0))*INDEX(Probabilitas!$C$27:$C$28,MATCH(F253,Probabilitas!$A$27:$A$28,0))</x:f>
        <x:v>0.0000043025662753556825</x:v>
      </x:c>
      <x:c r="I253" s="26" t="n">
        <x:f>Probabilitas!$C$5*INDEX(Probabilitas!$E$10:$E$11,MATCH(D253,Probabilitas!$A$10:$A$11,0))*INDEX(Probabilitas!$E$16:$E$22,MATCH(E253,Probabilitas!$A$16:$A$22,0))*INDEX(Probabilitas!$E$27:$E$28,MATCH(F253,Probabilitas!$A$27:$A$28,0))</x:f>
        <x:v>0.14973050125660237</x:v>
      </x:c>
      <x:c r="J253" s="26" t="n">
        <x:f>IFERROR(H253/(H253+I253),0)</x:f>
        <x:v>0.00002873457716914777</x:v>
      </x:c>
      <x:c r="K253" s="26" t="n">
        <x:f>IFERROR(I253/(H253+I253),0)</x:f>
        <x:v>0.9999712654228309</x:v>
      </x:c>
      <x:c r="L253" s="24" t="str">
        <x:f>IF(J253&gt;=K253,"Minat","Tidak minat")</x:f>
        <x:v>Tidak minat</x:v>
      </x:c>
      <x:c r="M253" s="24" t="str">
        <x:f>IF(L253=G253,"Sesuai label latih","Berbeda dari label latih")</x:f>
        <x:v>Sesuai label latih</x:v>
      </x:c>
    </x:row>
    <x:row r="254">
      <x:c r="A254" s="24" t="n">
        <x:v>253</x:v>
      </x:c>
      <x:c r="B254" s="24" t="str">
        <x:v>TSM1-L-050</x:v>
      </x:c>
      <x:c r="C254" s="24" t="str">
        <x:v>Siswa TSM1 L-050</x:v>
      </x:c>
      <x:c r="D254" s="24" t="str">
        <x:v>TSM / Teknik Sepeda Motor</x:v>
      </x:c>
      <x:c r="E254" s="24" t="str">
        <x:v>TSM 1</x:v>
      </x:c>
      <x:c r="F254" s="24" t="str">
        <x:v>Laki-laki</x:v>
      </x:c>
      <x:c r="G254" s="24" t="str">
        <x:v>Tidak minat</x:v>
      </x:c>
      <x:c r="H254" s="26" t="n">
        <x:f>Probabilitas!$C$4*INDEX(Probabilitas!$C$10:$C$11,MATCH(D254,Probabilitas!$A$10:$A$11,0))*INDEX(Probabilitas!$C$16:$C$22,MATCH(E254,Probabilitas!$A$16:$A$22,0))*INDEX(Probabilitas!$C$27:$C$28,MATCH(F254,Probabilitas!$A$27:$A$28,0))</x:f>
        <x:v>0.0000043025662753556825</x:v>
      </x:c>
      <x:c r="I254" s="26" t="n">
        <x:f>Probabilitas!$C$5*INDEX(Probabilitas!$E$10:$E$11,MATCH(D254,Probabilitas!$A$10:$A$11,0))*INDEX(Probabilitas!$E$16:$E$22,MATCH(E254,Probabilitas!$A$16:$A$22,0))*INDEX(Probabilitas!$E$27:$E$28,MATCH(F254,Probabilitas!$A$27:$A$28,0))</x:f>
        <x:v>0.14973050125660237</x:v>
      </x:c>
      <x:c r="J254" s="26" t="n">
        <x:f>IFERROR(H254/(H254+I254),0)</x:f>
        <x:v>0.00002873457716914777</x:v>
      </x:c>
      <x:c r="K254" s="26" t="n">
        <x:f>IFERROR(I254/(H254+I254),0)</x:f>
        <x:v>0.9999712654228309</x:v>
      </x:c>
      <x:c r="L254" s="24" t="str">
        <x:f>IF(J254&gt;=K254,"Minat","Tidak minat")</x:f>
        <x:v>Tidak minat</x:v>
      </x:c>
      <x:c r="M254" s="24" t="str">
        <x:f>IF(L254=G254,"Sesuai label latih","Berbeda dari label latih")</x:f>
        <x:v>Sesuai label latih</x:v>
      </x:c>
    </x:row>
    <x:row r="255">
      <x:c r="A255" s="24" t="n">
        <x:v>254</x:v>
      </x:c>
      <x:c r="B255" s="24" t="str">
        <x:v>TSM1-L-051</x:v>
      </x:c>
      <x:c r="C255" s="24" t="str">
        <x:v>Siswa TSM1 L-051</x:v>
      </x:c>
      <x:c r="D255" s="24" t="str">
        <x:v>TSM / Teknik Sepeda Motor</x:v>
      </x:c>
      <x:c r="E255" s="24" t="str">
        <x:v>TSM 1</x:v>
      </x:c>
      <x:c r="F255" s="24" t="str">
        <x:v>Laki-laki</x:v>
      </x:c>
      <x:c r="G255" s="24" t="str">
        <x:v>Tidak minat</x:v>
      </x:c>
      <x:c r="H255" s="26" t="n">
        <x:f>Probabilitas!$C$4*INDEX(Probabilitas!$C$10:$C$11,MATCH(D255,Probabilitas!$A$10:$A$11,0))*INDEX(Probabilitas!$C$16:$C$22,MATCH(E255,Probabilitas!$A$16:$A$22,0))*INDEX(Probabilitas!$C$27:$C$28,MATCH(F255,Probabilitas!$A$27:$A$28,0))</x:f>
        <x:v>0.0000043025662753556825</x:v>
      </x:c>
      <x:c r="I255" s="26" t="n">
        <x:f>Probabilitas!$C$5*INDEX(Probabilitas!$E$10:$E$11,MATCH(D255,Probabilitas!$A$10:$A$11,0))*INDEX(Probabilitas!$E$16:$E$22,MATCH(E255,Probabilitas!$A$16:$A$22,0))*INDEX(Probabilitas!$E$27:$E$28,MATCH(F255,Probabilitas!$A$27:$A$28,0))</x:f>
        <x:v>0.14973050125660237</x:v>
      </x:c>
      <x:c r="J255" s="26" t="n">
        <x:f>IFERROR(H255/(H255+I255),0)</x:f>
        <x:v>0.00002873457716914777</x:v>
      </x:c>
      <x:c r="K255" s="26" t="n">
        <x:f>IFERROR(I255/(H255+I255),0)</x:f>
        <x:v>0.9999712654228309</x:v>
      </x:c>
      <x:c r="L255" s="24" t="str">
        <x:f>IF(J255&gt;=K255,"Minat","Tidak minat")</x:f>
        <x:v>Tidak minat</x:v>
      </x:c>
      <x:c r="M255" s="24" t="str">
        <x:f>IF(L255=G255,"Sesuai label latih","Berbeda dari label latih")</x:f>
        <x:v>Sesuai label latih</x:v>
      </x:c>
    </x:row>
    <x:row r="256">
      <x:c r="A256" s="24" t="n">
        <x:v>255</x:v>
      </x:c>
      <x:c r="B256" s="24" t="str">
        <x:v>TSM1-L-052</x:v>
      </x:c>
      <x:c r="C256" s="24" t="str">
        <x:v>Siswa TSM1 L-052</x:v>
      </x:c>
      <x:c r="D256" s="24" t="str">
        <x:v>TSM / Teknik Sepeda Motor</x:v>
      </x:c>
      <x:c r="E256" s="24" t="str">
        <x:v>TSM 1</x:v>
      </x:c>
      <x:c r="F256" s="24" t="str">
        <x:v>Laki-laki</x:v>
      </x:c>
      <x:c r="G256" s="24" t="str">
        <x:v>Tidak minat</x:v>
      </x:c>
      <x:c r="H256" s="26" t="n">
        <x:f>Probabilitas!$C$4*INDEX(Probabilitas!$C$10:$C$11,MATCH(D256,Probabilitas!$A$10:$A$11,0))*INDEX(Probabilitas!$C$16:$C$22,MATCH(E256,Probabilitas!$A$16:$A$22,0))*INDEX(Probabilitas!$C$27:$C$28,MATCH(F256,Probabilitas!$A$27:$A$28,0))</x:f>
        <x:v>0.0000043025662753556825</x:v>
      </x:c>
      <x:c r="I256" s="26" t="n">
        <x:f>Probabilitas!$C$5*INDEX(Probabilitas!$E$10:$E$11,MATCH(D256,Probabilitas!$A$10:$A$11,0))*INDEX(Probabilitas!$E$16:$E$22,MATCH(E256,Probabilitas!$A$16:$A$22,0))*INDEX(Probabilitas!$E$27:$E$28,MATCH(F256,Probabilitas!$A$27:$A$28,0))</x:f>
        <x:v>0.14973050125660237</x:v>
      </x:c>
      <x:c r="J256" s="26" t="n">
        <x:f>IFERROR(H256/(H256+I256),0)</x:f>
        <x:v>0.00002873457716914777</x:v>
      </x:c>
      <x:c r="K256" s="26" t="n">
        <x:f>IFERROR(I256/(H256+I256),0)</x:f>
        <x:v>0.9999712654228309</x:v>
      </x:c>
      <x:c r="L256" s="24" t="str">
        <x:f>IF(J256&gt;=K256,"Minat","Tidak minat")</x:f>
        <x:v>Tidak minat</x:v>
      </x:c>
      <x:c r="M256" s="24" t="str">
        <x:f>IF(L256=G256,"Sesuai label latih","Berbeda dari label latih")</x:f>
        <x:v>Sesuai label latih</x:v>
      </x:c>
    </x:row>
    <x:row r="257">
      <x:c r="A257" s="24" t="n">
        <x:v>256</x:v>
      </x:c>
      <x:c r="B257" s="24" t="str">
        <x:v>TSM1-L-053</x:v>
      </x:c>
      <x:c r="C257" s="24" t="str">
        <x:v>Siswa TSM1 L-053</x:v>
      </x:c>
      <x:c r="D257" s="24" t="str">
        <x:v>TSM / Teknik Sepeda Motor</x:v>
      </x:c>
      <x:c r="E257" s="24" t="str">
        <x:v>TSM 1</x:v>
      </x:c>
      <x:c r="F257" s="24" t="str">
        <x:v>Laki-laki</x:v>
      </x:c>
      <x:c r="G257" s="24" t="str">
        <x:v>Tidak minat</x:v>
      </x:c>
      <x:c r="H257" s="26" t="n">
        <x:f>Probabilitas!$C$4*INDEX(Probabilitas!$C$10:$C$11,MATCH(D257,Probabilitas!$A$10:$A$11,0))*INDEX(Probabilitas!$C$16:$C$22,MATCH(E257,Probabilitas!$A$16:$A$22,0))*INDEX(Probabilitas!$C$27:$C$28,MATCH(F257,Probabilitas!$A$27:$A$28,0))</x:f>
        <x:v>0.0000043025662753556825</x:v>
      </x:c>
      <x:c r="I257" s="26" t="n">
        <x:f>Probabilitas!$C$5*INDEX(Probabilitas!$E$10:$E$11,MATCH(D257,Probabilitas!$A$10:$A$11,0))*INDEX(Probabilitas!$E$16:$E$22,MATCH(E257,Probabilitas!$A$16:$A$22,0))*INDEX(Probabilitas!$E$27:$E$28,MATCH(F257,Probabilitas!$A$27:$A$28,0))</x:f>
        <x:v>0.14973050125660237</x:v>
      </x:c>
      <x:c r="J257" s="26" t="n">
        <x:f>IFERROR(H257/(H257+I257),0)</x:f>
        <x:v>0.00002873457716914777</x:v>
      </x:c>
      <x:c r="K257" s="26" t="n">
        <x:f>IFERROR(I257/(H257+I257),0)</x:f>
        <x:v>0.9999712654228309</x:v>
      </x:c>
      <x:c r="L257" s="24" t="str">
        <x:f>IF(J257&gt;=K257,"Minat","Tidak minat")</x:f>
        <x:v>Tidak minat</x:v>
      </x:c>
      <x:c r="M257" s="24" t="str">
        <x:f>IF(L257=G257,"Sesuai label latih","Berbeda dari label latih")</x:f>
        <x:v>Sesuai label latih</x:v>
      </x:c>
    </x:row>
    <x:row r="258">
      <x:c r="A258" s="24" t="n">
        <x:v>257</x:v>
      </x:c>
      <x:c r="B258" s="24" t="str">
        <x:v>TSM1-L-054</x:v>
      </x:c>
      <x:c r="C258" s="24" t="str">
        <x:v>Siswa TSM1 L-054</x:v>
      </x:c>
      <x:c r="D258" s="24" t="str">
        <x:v>TSM / Teknik Sepeda Motor</x:v>
      </x:c>
      <x:c r="E258" s="24" t="str">
        <x:v>TSM 1</x:v>
      </x:c>
      <x:c r="F258" s="24" t="str">
        <x:v>Laki-laki</x:v>
      </x:c>
      <x:c r="G258" s="24" t="str">
        <x:v>Tidak minat</x:v>
      </x:c>
      <x:c r="H258" s="26" t="n">
        <x:f>Probabilitas!$C$4*INDEX(Probabilitas!$C$10:$C$11,MATCH(D258,Probabilitas!$A$10:$A$11,0))*INDEX(Probabilitas!$C$16:$C$22,MATCH(E258,Probabilitas!$A$16:$A$22,0))*INDEX(Probabilitas!$C$27:$C$28,MATCH(F258,Probabilitas!$A$27:$A$28,0))</x:f>
        <x:v>0.0000043025662753556825</x:v>
      </x:c>
      <x:c r="I258" s="26" t="n">
        <x:f>Probabilitas!$C$5*INDEX(Probabilitas!$E$10:$E$11,MATCH(D258,Probabilitas!$A$10:$A$11,0))*INDEX(Probabilitas!$E$16:$E$22,MATCH(E258,Probabilitas!$A$16:$A$22,0))*INDEX(Probabilitas!$E$27:$E$28,MATCH(F258,Probabilitas!$A$27:$A$28,0))</x:f>
        <x:v>0.14973050125660237</x:v>
      </x:c>
      <x:c r="J258" s="26" t="n">
        <x:f>IFERROR(H258/(H258+I258),0)</x:f>
        <x:v>0.00002873457716914777</x:v>
      </x:c>
      <x:c r="K258" s="26" t="n">
        <x:f>IFERROR(I258/(H258+I258),0)</x:f>
        <x:v>0.9999712654228309</x:v>
      </x:c>
      <x:c r="L258" s="24" t="str">
        <x:f>IF(J258&gt;=K258,"Minat","Tidak minat")</x:f>
        <x:v>Tidak minat</x:v>
      </x:c>
      <x:c r="M258" s="24" t="str">
        <x:f>IF(L258=G258,"Sesuai label latih","Berbeda dari label latih")</x:f>
        <x:v>Sesuai label latih</x:v>
      </x:c>
    </x:row>
    <x:row r="259">
      <x:c r="A259" s="24" t="n">
        <x:v>258</x:v>
      </x:c>
      <x:c r="B259" s="24" t="str">
        <x:v>TSM1-L-055</x:v>
      </x:c>
      <x:c r="C259" s="24" t="str">
        <x:v>Siswa TSM1 L-055</x:v>
      </x:c>
      <x:c r="D259" s="24" t="str">
        <x:v>TSM / Teknik Sepeda Motor</x:v>
      </x:c>
      <x:c r="E259" s="24" t="str">
        <x:v>TSM 1</x:v>
      </x:c>
      <x:c r="F259" s="24" t="str">
        <x:v>Laki-laki</x:v>
      </x:c>
      <x:c r="G259" s="24" t="str">
        <x:v>Tidak minat</x:v>
      </x:c>
      <x:c r="H259" s="26" t="n">
        <x:f>Probabilitas!$C$4*INDEX(Probabilitas!$C$10:$C$11,MATCH(D259,Probabilitas!$A$10:$A$11,0))*INDEX(Probabilitas!$C$16:$C$22,MATCH(E259,Probabilitas!$A$16:$A$22,0))*INDEX(Probabilitas!$C$27:$C$28,MATCH(F259,Probabilitas!$A$27:$A$28,0))</x:f>
        <x:v>0.0000043025662753556825</x:v>
      </x:c>
      <x:c r="I259" s="26" t="n">
        <x:f>Probabilitas!$C$5*INDEX(Probabilitas!$E$10:$E$11,MATCH(D259,Probabilitas!$A$10:$A$11,0))*INDEX(Probabilitas!$E$16:$E$22,MATCH(E259,Probabilitas!$A$16:$A$22,0))*INDEX(Probabilitas!$E$27:$E$28,MATCH(F259,Probabilitas!$A$27:$A$28,0))</x:f>
        <x:v>0.14973050125660237</x:v>
      </x:c>
      <x:c r="J259" s="26" t="n">
        <x:f>IFERROR(H259/(H259+I259),0)</x:f>
        <x:v>0.00002873457716914777</x:v>
      </x:c>
      <x:c r="K259" s="26" t="n">
        <x:f>IFERROR(I259/(H259+I259),0)</x:f>
        <x:v>0.9999712654228309</x:v>
      </x:c>
      <x:c r="L259" s="24" t="str">
        <x:f>IF(J259&gt;=K259,"Minat","Tidak minat")</x:f>
        <x:v>Tidak minat</x:v>
      </x:c>
      <x:c r="M259" s="24" t="str">
        <x:f>IF(L259=G259,"Sesuai label latih","Berbeda dari label latih")</x:f>
        <x:v>Sesuai label latih</x:v>
      </x:c>
    </x:row>
    <x:row r="260">
      <x:c r="A260" s="24" t="n">
        <x:v>259</x:v>
      </x:c>
      <x:c r="B260" s="24" t="str">
        <x:v>TSM1-L-056</x:v>
      </x:c>
      <x:c r="C260" s="24" t="str">
        <x:v>Siswa TSM1 L-056</x:v>
      </x:c>
      <x:c r="D260" s="24" t="str">
        <x:v>TSM / Teknik Sepeda Motor</x:v>
      </x:c>
      <x:c r="E260" s="24" t="str">
        <x:v>TSM 1</x:v>
      </x:c>
      <x:c r="F260" s="24" t="str">
        <x:v>Laki-laki</x:v>
      </x:c>
      <x:c r="G260" s="24" t="str">
        <x:v>Tidak minat</x:v>
      </x:c>
      <x:c r="H260" s="26" t="n">
        <x:f>Probabilitas!$C$4*INDEX(Probabilitas!$C$10:$C$11,MATCH(D260,Probabilitas!$A$10:$A$11,0))*INDEX(Probabilitas!$C$16:$C$22,MATCH(E260,Probabilitas!$A$16:$A$22,0))*INDEX(Probabilitas!$C$27:$C$28,MATCH(F260,Probabilitas!$A$27:$A$28,0))</x:f>
        <x:v>0.0000043025662753556825</x:v>
      </x:c>
      <x:c r="I260" s="26" t="n">
        <x:f>Probabilitas!$C$5*INDEX(Probabilitas!$E$10:$E$11,MATCH(D260,Probabilitas!$A$10:$A$11,0))*INDEX(Probabilitas!$E$16:$E$22,MATCH(E260,Probabilitas!$A$16:$A$22,0))*INDEX(Probabilitas!$E$27:$E$28,MATCH(F260,Probabilitas!$A$27:$A$28,0))</x:f>
        <x:v>0.14973050125660237</x:v>
      </x:c>
      <x:c r="J260" s="26" t="n">
        <x:f>IFERROR(H260/(H260+I260),0)</x:f>
        <x:v>0.00002873457716914777</x:v>
      </x:c>
      <x:c r="K260" s="26" t="n">
        <x:f>IFERROR(I260/(H260+I260),0)</x:f>
        <x:v>0.9999712654228309</x:v>
      </x:c>
      <x:c r="L260" s="24" t="str">
        <x:f>IF(J260&gt;=K260,"Minat","Tidak minat")</x:f>
        <x:v>Tidak minat</x:v>
      </x:c>
      <x:c r="M260" s="24" t="str">
        <x:f>IF(L260=G260,"Sesuai label latih","Berbeda dari label latih")</x:f>
        <x:v>Sesuai label latih</x:v>
      </x:c>
    </x:row>
    <x:row r="261">
      <x:c r="A261" s="24" t="n">
        <x:v>260</x:v>
      </x:c>
      <x:c r="B261" s="24" t="str">
        <x:v>TSM1-L-057</x:v>
      </x:c>
      <x:c r="C261" s="24" t="str">
        <x:v>Siswa TSM1 L-057</x:v>
      </x:c>
      <x:c r="D261" s="24" t="str">
        <x:v>TSM / Teknik Sepeda Motor</x:v>
      </x:c>
      <x:c r="E261" s="24" t="str">
        <x:v>TSM 1</x:v>
      </x:c>
      <x:c r="F261" s="24" t="str">
        <x:v>Laki-laki</x:v>
      </x:c>
      <x:c r="G261" s="24" t="str">
        <x:v>Tidak minat</x:v>
      </x:c>
      <x:c r="H261" s="26" t="n">
        <x:f>Probabilitas!$C$4*INDEX(Probabilitas!$C$10:$C$11,MATCH(D261,Probabilitas!$A$10:$A$11,0))*INDEX(Probabilitas!$C$16:$C$22,MATCH(E261,Probabilitas!$A$16:$A$22,0))*INDEX(Probabilitas!$C$27:$C$28,MATCH(F261,Probabilitas!$A$27:$A$28,0))</x:f>
        <x:v>0.0000043025662753556825</x:v>
      </x:c>
      <x:c r="I261" s="26" t="n">
        <x:f>Probabilitas!$C$5*INDEX(Probabilitas!$E$10:$E$11,MATCH(D261,Probabilitas!$A$10:$A$11,0))*INDEX(Probabilitas!$E$16:$E$22,MATCH(E261,Probabilitas!$A$16:$A$22,0))*INDEX(Probabilitas!$E$27:$E$28,MATCH(F261,Probabilitas!$A$27:$A$28,0))</x:f>
        <x:v>0.14973050125660237</x:v>
      </x:c>
      <x:c r="J261" s="26" t="n">
        <x:f>IFERROR(H261/(H261+I261),0)</x:f>
        <x:v>0.00002873457716914777</x:v>
      </x:c>
      <x:c r="K261" s="26" t="n">
        <x:f>IFERROR(I261/(H261+I261),0)</x:f>
        <x:v>0.9999712654228309</x:v>
      </x:c>
      <x:c r="L261" s="24" t="str">
        <x:f>IF(J261&gt;=K261,"Minat","Tidak minat")</x:f>
        <x:v>Tidak minat</x:v>
      </x:c>
      <x:c r="M261" s="24" t="str">
        <x:f>IF(L261=G261,"Sesuai label latih","Berbeda dari label latih")</x:f>
        <x:v>Sesuai label latih</x:v>
      </x:c>
    </x:row>
    <x:row r="262">
      <x:c r="A262" s="24" t="n">
        <x:v>261</x:v>
      </x:c>
      <x:c r="B262" s="24" t="str">
        <x:v>TSM1-L-058</x:v>
      </x:c>
      <x:c r="C262" s="24" t="str">
        <x:v>Siswa TSM1 L-058</x:v>
      </x:c>
      <x:c r="D262" s="24" t="str">
        <x:v>TSM / Teknik Sepeda Motor</x:v>
      </x:c>
      <x:c r="E262" s="24" t="str">
        <x:v>TSM 1</x:v>
      </x:c>
      <x:c r="F262" s="24" t="str">
        <x:v>Laki-laki</x:v>
      </x:c>
      <x:c r="G262" s="24" t="str">
        <x:v>Tidak minat</x:v>
      </x:c>
      <x:c r="H262" s="26" t="n">
        <x:f>Probabilitas!$C$4*INDEX(Probabilitas!$C$10:$C$11,MATCH(D262,Probabilitas!$A$10:$A$11,0))*INDEX(Probabilitas!$C$16:$C$22,MATCH(E262,Probabilitas!$A$16:$A$22,0))*INDEX(Probabilitas!$C$27:$C$28,MATCH(F262,Probabilitas!$A$27:$A$28,0))</x:f>
        <x:v>0.0000043025662753556825</x:v>
      </x:c>
      <x:c r="I262" s="26" t="n">
        <x:f>Probabilitas!$C$5*INDEX(Probabilitas!$E$10:$E$11,MATCH(D262,Probabilitas!$A$10:$A$11,0))*INDEX(Probabilitas!$E$16:$E$22,MATCH(E262,Probabilitas!$A$16:$A$22,0))*INDEX(Probabilitas!$E$27:$E$28,MATCH(F262,Probabilitas!$A$27:$A$28,0))</x:f>
        <x:v>0.14973050125660237</x:v>
      </x:c>
      <x:c r="J262" s="26" t="n">
        <x:f>IFERROR(H262/(H262+I262),0)</x:f>
        <x:v>0.00002873457716914777</x:v>
      </x:c>
      <x:c r="K262" s="26" t="n">
        <x:f>IFERROR(I262/(H262+I262),0)</x:f>
        <x:v>0.9999712654228309</x:v>
      </x:c>
      <x:c r="L262" s="24" t="str">
        <x:f>IF(J262&gt;=K262,"Minat","Tidak minat")</x:f>
        <x:v>Tidak minat</x:v>
      </x:c>
      <x:c r="M262" s="24" t="str">
        <x:f>IF(L262=G262,"Sesuai label latih","Berbeda dari label latih")</x:f>
        <x:v>Sesuai label latih</x:v>
      </x:c>
    </x:row>
    <x:row r="263">
      <x:c r="A263" s="24" t="n">
        <x:v>262</x:v>
      </x:c>
      <x:c r="B263" s="24" t="str">
        <x:v>TSM1-L-059</x:v>
      </x:c>
      <x:c r="C263" s="24" t="str">
        <x:v>Siswa TSM1 L-059</x:v>
      </x:c>
      <x:c r="D263" s="24" t="str">
        <x:v>TSM / Teknik Sepeda Motor</x:v>
      </x:c>
      <x:c r="E263" s="24" t="str">
        <x:v>TSM 1</x:v>
      </x:c>
      <x:c r="F263" s="24" t="str">
        <x:v>Laki-laki</x:v>
      </x:c>
      <x:c r="G263" s="24" t="str">
        <x:v>Tidak minat</x:v>
      </x:c>
      <x:c r="H263" s="26" t="n">
        <x:f>Probabilitas!$C$4*INDEX(Probabilitas!$C$10:$C$11,MATCH(D263,Probabilitas!$A$10:$A$11,0))*INDEX(Probabilitas!$C$16:$C$22,MATCH(E263,Probabilitas!$A$16:$A$22,0))*INDEX(Probabilitas!$C$27:$C$28,MATCH(F263,Probabilitas!$A$27:$A$28,0))</x:f>
        <x:v>0.0000043025662753556825</x:v>
      </x:c>
      <x:c r="I263" s="26" t="n">
        <x:f>Probabilitas!$C$5*INDEX(Probabilitas!$E$10:$E$11,MATCH(D263,Probabilitas!$A$10:$A$11,0))*INDEX(Probabilitas!$E$16:$E$22,MATCH(E263,Probabilitas!$A$16:$A$22,0))*INDEX(Probabilitas!$E$27:$E$28,MATCH(F263,Probabilitas!$A$27:$A$28,0))</x:f>
        <x:v>0.14973050125660237</x:v>
      </x:c>
      <x:c r="J263" s="26" t="n">
        <x:f>IFERROR(H263/(H263+I263),0)</x:f>
        <x:v>0.00002873457716914777</x:v>
      </x:c>
      <x:c r="K263" s="26" t="n">
        <x:f>IFERROR(I263/(H263+I263),0)</x:f>
        <x:v>0.9999712654228309</x:v>
      </x:c>
      <x:c r="L263" s="24" t="str">
        <x:f>IF(J263&gt;=K263,"Minat","Tidak minat")</x:f>
        <x:v>Tidak minat</x:v>
      </x:c>
      <x:c r="M263" s="24" t="str">
        <x:f>IF(L263=G263,"Sesuai label latih","Berbeda dari label latih")</x:f>
        <x:v>Sesuai label latih</x:v>
      </x:c>
    </x:row>
    <x:row r="264">
      <x:c r="A264" s="24" t="n">
        <x:v>263</x:v>
      </x:c>
      <x:c r="B264" s="24" t="str">
        <x:v>TSM1-L-060</x:v>
      </x:c>
      <x:c r="C264" s="24" t="str">
        <x:v>Siswa TSM1 L-060</x:v>
      </x:c>
      <x:c r="D264" s="24" t="str">
        <x:v>TSM / Teknik Sepeda Motor</x:v>
      </x:c>
      <x:c r="E264" s="24" t="str">
        <x:v>TSM 1</x:v>
      </x:c>
      <x:c r="F264" s="24" t="str">
        <x:v>Laki-laki</x:v>
      </x:c>
      <x:c r="G264" s="24" t="str">
        <x:v>Tidak minat</x:v>
      </x:c>
      <x:c r="H264" s="26" t="n">
        <x:f>Probabilitas!$C$4*INDEX(Probabilitas!$C$10:$C$11,MATCH(D264,Probabilitas!$A$10:$A$11,0))*INDEX(Probabilitas!$C$16:$C$22,MATCH(E264,Probabilitas!$A$16:$A$22,0))*INDEX(Probabilitas!$C$27:$C$28,MATCH(F264,Probabilitas!$A$27:$A$28,0))</x:f>
        <x:v>0.0000043025662753556825</x:v>
      </x:c>
      <x:c r="I264" s="26" t="n">
        <x:f>Probabilitas!$C$5*INDEX(Probabilitas!$E$10:$E$11,MATCH(D264,Probabilitas!$A$10:$A$11,0))*INDEX(Probabilitas!$E$16:$E$22,MATCH(E264,Probabilitas!$A$16:$A$22,0))*INDEX(Probabilitas!$E$27:$E$28,MATCH(F264,Probabilitas!$A$27:$A$28,0))</x:f>
        <x:v>0.14973050125660237</x:v>
      </x:c>
      <x:c r="J264" s="26" t="n">
        <x:f>IFERROR(H264/(H264+I264),0)</x:f>
        <x:v>0.00002873457716914777</x:v>
      </x:c>
      <x:c r="K264" s="26" t="n">
        <x:f>IFERROR(I264/(H264+I264),0)</x:f>
        <x:v>0.9999712654228309</x:v>
      </x:c>
      <x:c r="L264" s="24" t="str">
        <x:f>IF(J264&gt;=K264,"Minat","Tidak minat")</x:f>
        <x:v>Tidak minat</x:v>
      </x:c>
      <x:c r="M264" s="24" t="str">
        <x:f>IF(L264=G264,"Sesuai label latih","Berbeda dari label latih")</x:f>
        <x:v>Sesuai label latih</x:v>
      </x:c>
    </x:row>
    <x:row r="265">
      <x:c r="A265" s="24" t="n">
        <x:v>264</x:v>
      </x:c>
      <x:c r="B265" s="24" t="str">
        <x:v>TSM1-L-061</x:v>
      </x:c>
      <x:c r="C265" s="24" t="str">
        <x:v>Siswa TSM1 L-061</x:v>
      </x:c>
      <x:c r="D265" s="24" t="str">
        <x:v>TSM / Teknik Sepeda Motor</x:v>
      </x:c>
      <x:c r="E265" s="24" t="str">
        <x:v>TSM 1</x:v>
      </x:c>
      <x:c r="F265" s="24" t="str">
        <x:v>Laki-laki</x:v>
      </x:c>
      <x:c r="G265" s="24" t="str">
        <x:v>Tidak minat</x:v>
      </x:c>
      <x:c r="H265" s="26" t="n">
        <x:f>Probabilitas!$C$4*INDEX(Probabilitas!$C$10:$C$11,MATCH(D265,Probabilitas!$A$10:$A$11,0))*INDEX(Probabilitas!$C$16:$C$22,MATCH(E265,Probabilitas!$A$16:$A$22,0))*INDEX(Probabilitas!$C$27:$C$28,MATCH(F265,Probabilitas!$A$27:$A$28,0))</x:f>
        <x:v>0.0000043025662753556825</x:v>
      </x:c>
      <x:c r="I265" s="26" t="n">
        <x:f>Probabilitas!$C$5*INDEX(Probabilitas!$E$10:$E$11,MATCH(D265,Probabilitas!$A$10:$A$11,0))*INDEX(Probabilitas!$E$16:$E$22,MATCH(E265,Probabilitas!$A$16:$A$22,0))*INDEX(Probabilitas!$E$27:$E$28,MATCH(F265,Probabilitas!$A$27:$A$28,0))</x:f>
        <x:v>0.14973050125660237</x:v>
      </x:c>
      <x:c r="J265" s="26" t="n">
        <x:f>IFERROR(H265/(H265+I265),0)</x:f>
        <x:v>0.00002873457716914777</x:v>
      </x:c>
      <x:c r="K265" s="26" t="n">
        <x:f>IFERROR(I265/(H265+I265),0)</x:f>
        <x:v>0.9999712654228309</x:v>
      </x:c>
      <x:c r="L265" s="24" t="str">
        <x:f>IF(J265&gt;=K265,"Minat","Tidak minat")</x:f>
        <x:v>Tidak minat</x:v>
      </x:c>
      <x:c r="M265" s="24" t="str">
        <x:f>IF(L265=G265,"Sesuai label latih","Berbeda dari label latih")</x:f>
        <x:v>Sesuai label latih</x:v>
      </x:c>
    </x:row>
    <x:row r="266">
      <x:c r="A266" s="24" t="n">
        <x:v>265</x:v>
      </x:c>
      <x:c r="B266" s="24" t="str">
        <x:v>TSM1-L-062</x:v>
      </x:c>
      <x:c r="C266" s="24" t="str">
        <x:v>Siswa TSM1 L-062</x:v>
      </x:c>
      <x:c r="D266" s="24" t="str">
        <x:v>TSM / Teknik Sepeda Motor</x:v>
      </x:c>
      <x:c r="E266" s="24" t="str">
        <x:v>TSM 1</x:v>
      </x:c>
      <x:c r="F266" s="24" t="str">
        <x:v>Laki-laki</x:v>
      </x:c>
      <x:c r="G266" s="24" t="str">
        <x:v>Tidak minat</x:v>
      </x:c>
      <x:c r="H266" s="26" t="n">
        <x:f>Probabilitas!$C$4*INDEX(Probabilitas!$C$10:$C$11,MATCH(D266,Probabilitas!$A$10:$A$11,0))*INDEX(Probabilitas!$C$16:$C$22,MATCH(E266,Probabilitas!$A$16:$A$22,0))*INDEX(Probabilitas!$C$27:$C$28,MATCH(F266,Probabilitas!$A$27:$A$28,0))</x:f>
        <x:v>0.0000043025662753556825</x:v>
      </x:c>
      <x:c r="I266" s="26" t="n">
        <x:f>Probabilitas!$C$5*INDEX(Probabilitas!$E$10:$E$11,MATCH(D266,Probabilitas!$A$10:$A$11,0))*INDEX(Probabilitas!$E$16:$E$22,MATCH(E266,Probabilitas!$A$16:$A$22,0))*INDEX(Probabilitas!$E$27:$E$28,MATCH(F266,Probabilitas!$A$27:$A$28,0))</x:f>
        <x:v>0.14973050125660237</x:v>
      </x:c>
      <x:c r="J266" s="26" t="n">
        <x:f>IFERROR(H266/(H266+I266),0)</x:f>
        <x:v>0.00002873457716914777</x:v>
      </x:c>
      <x:c r="K266" s="26" t="n">
        <x:f>IFERROR(I266/(H266+I266),0)</x:f>
        <x:v>0.9999712654228309</x:v>
      </x:c>
      <x:c r="L266" s="24" t="str">
        <x:f>IF(J266&gt;=K266,"Minat","Tidak minat")</x:f>
        <x:v>Tidak minat</x:v>
      </x:c>
      <x:c r="M266" s="24" t="str">
        <x:f>IF(L266=G266,"Sesuai label latih","Berbeda dari label latih")</x:f>
        <x:v>Sesuai label latih</x:v>
      </x:c>
    </x:row>
    <x:row r="267">
      <x:c r="A267" s="24" t="n">
        <x:v>266</x:v>
      </x:c>
      <x:c r="B267" s="24" t="str">
        <x:v>TSM1-L-063</x:v>
      </x:c>
      <x:c r="C267" s="24" t="str">
        <x:v>Siswa TSM1 L-063</x:v>
      </x:c>
      <x:c r="D267" s="24" t="str">
        <x:v>TSM / Teknik Sepeda Motor</x:v>
      </x:c>
      <x:c r="E267" s="24" t="str">
        <x:v>TSM 1</x:v>
      </x:c>
      <x:c r="F267" s="24" t="str">
        <x:v>Laki-laki</x:v>
      </x:c>
      <x:c r="G267" s="24" t="str">
        <x:v>Tidak minat</x:v>
      </x:c>
      <x:c r="H267" s="26" t="n">
        <x:f>Probabilitas!$C$4*INDEX(Probabilitas!$C$10:$C$11,MATCH(D267,Probabilitas!$A$10:$A$11,0))*INDEX(Probabilitas!$C$16:$C$22,MATCH(E267,Probabilitas!$A$16:$A$22,0))*INDEX(Probabilitas!$C$27:$C$28,MATCH(F267,Probabilitas!$A$27:$A$28,0))</x:f>
        <x:v>0.0000043025662753556825</x:v>
      </x:c>
      <x:c r="I267" s="26" t="n">
        <x:f>Probabilitas!$C$5*INDEX(Probabilitas!$E$10:$E$11,MATCH(D267,Probabilitas!$A$10:$A$11,0))*INDEX(Probabilitas!$E$16:$E$22,MATCH(E267,Probabilitas!$A$16:$A$22,0))*INDEX(Probabilitas!$E$27:$E$28,MATCH(F267,Probabilitas!$A$27:$A$28,0))</x:f>
        <x:v>0.14973050125660237</x:v>
      </x:c>
      <x:c r="J267" s="26" t="n">
        <x:f>IFERROR(H267/(H267+I267),0)</x:f>
        <x:v>0.00002873457716914777</x:v>
      </x:c>
      <x:c r="K267" s="26" t="n">
        <x:f>IFERROR(I267/(H267+I267),0)</x:f>
        <x:v>0.9999712654228309</x:v>
      </x:c>
      <x:c r="L267" s="24" t="str">
        <x:f>IF(J267&gt;=K267,"Minat","Tidak minat")</x:f>
        <x:v>Tidak minat</x:v>
      </x:c>
      <x:c r="M267" s="24" t="str">
        <x:f>IF(L267=G267,"Sesuai label latih","Berbeda dari label latih")</x:f>
        <x:v>Sesuai label latih</x:v>
      </x:c>
    </x:row>
    <x:row r="268">
      <x:c r="A268" s="24" t="n">
        <x:v>267</x:v>
      </x:c>
      <x:c r="B268" s="24" t="str">
        <x:v>TSM1-L-064</x:v>
      </x:c>
      <x:c r="C268" s="24" t="str">
        <x:v>Siswa TSM1 L-064</x:v>
      </x:c>
      <x:c r="D268" s="24" t="str">
        <x:v>TSM / Teknik Sepeda Motor</x:v>
      </x:c>
      <x:c r="E268" s="24" t="str">
        <x:v>TSM 1</x:v>
      </x:c>
      <x:c r="F268" s="24" t="str">
        <x:v>Laki-laki</x:v>
      </x:c>
      <x:c r="G268" s="24" t="str">
        <x:v>Tidak minat</x:v>
      </x:c>
      <x:c r="H268" s="26" t="n">
        <x:f>Probabilitas!$C$4*INDEX(Probabilitas!$C$10:$C$11,MATCH(D268,Probabilitas!$A$10:$A$11,0))*INDEX(Probabilitas!$C$16:$C$22,MATCH(E268,Probabilitas!$A$16:$A$22,0))*INDEX(Probabilitas!$C$27:$C$28,MATCH(F268,Probabilitas!$A$27:$A$28,0))</x:f>
        <x:v>0.0000043025662753556825</x:v>
      </x:c>
      <x:c r="I268" s="26" t="n">
        <x:f>Probabilitas!$C$5*INDEX(Probabilitas!$E$10:$E$11,MATCH(D268,Probabilitas!$A$10:$A$11,0))*INDEX(Probabilitas!$E$16:$E$22,MATCH(E268,Probabilitas!$A$16:$A$22,0))*INDEX(Probabilitas!$E$27:$E$28,MATCH(F268,Probabilitas!$A$27:$A$28,0))</x:f>
        <x:v>0.14973050125660237</x:v>
      </x:c>
      <x:c r="J268" s="26" t="n">
        <x:f>IFERROR(H268/(H268+I268),0)</x:f>
        <x:v>0.00002873457716914777</x:v>
      </x:c>
      <x:c r="K268" s="26" t="n">
        <x:f>IFERROR(I268/(H268+I268),0)</x:f>
        <x:v>0.9999712654228309</x:v>
      </x:c>
      <x:c r="L268" s="24" t="str">
        <x:f>IF(J268&gt;=K268,"Minat","Tidak minat")</x:f>
        <x:v>Tidak minat</x:v>
      </x:c>
      <x:c r="M268" s="24" t="str">
        <x:f>IF(L268=G268,"Sesuai label latih","Berbeda dari label latih")</x:f>
        <x:v>Sesuai label latih</x:v>
      </x:c>
    </x:row>
    <x:row r="269">
      <x:c r="A269" s="24" t="n">
        <x:v>268</x:v>
      </x:c>
      <x:c r="B269" s="24" t="str">
        <x:v>TSM1-L-065</x:v>
      </x:c>
      <x:c r="C269" s="24" t="str">
        <x:v>Siswa TSM1 L-065</x:v>
      </x:c>
      <x:c r="D269" s="24" t="str">
        <x:v>TSM / Teknik Sepeda Motor</x:v>
      </x:c>
      <x:c r="E269" s="24" t="str">
        <x:v>TSM 1</x:v>
      </x:c>
      <x:c r="F269" s="24" t="str">
        <x:v>Laki-laki</x:v>
      </x:c>
      <x:c r="G269" s="24" t="str">
        <x:v>Tidak minat</x:v>
      </x:c>
      <x:c r="H269" s="26" t="n">
        <x:f>Probabilitas!$C$4*INDEX(Probabilitas!$C$10:$C$11,MATCH(D269,Probabilitas!$A$10:$A$11,0))*INDEX(Probabilitas!$C$16:$C$22,MATCH(E269,Probabilitas!$A$16:$A$22,0))*INDEX(Probabilitas!$C$27:$C$28,MATCH(F269,Probabilitas!$A$27:$A$28,0))</x:f>
        <x:v>0.0000043025662753556825</x:v>
      </x:c>
      <x:c r="I269" s="26" t="n">
        <x:f>Probabilitas!$C$5*INDEX(Probabilitas!$E$10:$E$11,MATCH(D269,Probabilitas!$A$10:$A$11,0))*INDEX(Probabilitas!$E$16:$E$22,MATCH(E269,Probabilitas!$A$16:$A$22,0))*INDEX(Probabilitas!$E$27:$E$28,MATCH(F269,Probabilitas!$A$27:$A$28,0))</x:f>
        <x:v>0.14973050125660237</x:v>
      </x:c>
      <x:c r="J269" s="26" t="n">
        <x:f>IFERROR(H269/(H269+I269),0)</x:f>
        <x:v>0.00002873457716914777</x:v>
      </x:c>
      <x:c r="K269" s="26" t="n">
        <x:f>IFERROR(I269/(H269+I269),0)</x:f>
        <x:v>0.9999712654228309</x:v>
      </x:c>
      <x:c r="L269" s="24" t="str">
        <x:f>IF(J269&gt;=K269,"Minat","Tidak minat")</x:f>
        <x:v>Tidak minat</x:v>
      </x:c>
      <x:c r="M269" s="24" t="str">
        <x:f>IF(L269=G269,"Sesuai label latih","Berbeda dari label latih")</x:f>
        <x:v>Sesuai label latih</x:v>
      </x:c>
    </x:row>
    <x:row r="270">
      <x:c r="A270" s="24" t="n">
        <x:v>269</x:v>
      </x:c>
      <x:c r="B270" s="24" t="str">
        <x:v>TSM1-L-066</x:v>
      </x:c>
      <x:c r="C270" s="24" t="str">
        <x:v>Siswa TSM1 L-066</x:v>
      </x:c>
      <x:c r="D270" s="24" t="str">
        <x:v>TSM / Teknik Sepeda Motor</x:v>
      </x:c>
      <x:c r="E270" s="24" t="str">
        <x:v>TSM 1</x:v>
      </x:c>
      <x:c r="F270" s="24" t="str">
        <x:v>Laki-laki</x:v>
      </x:c>
      <x:c r="G270" s="24" t="str">
        <x:v>Tidak minat</x:v>
      </x:c>
      <x:c r="H270" s="26" t="n">
        <x:f>Probabilitas!$C$4*INDEX(Probabilitas!$C$10:$C$11,MATCH(D270,Probabilitas!$A$10:$A$11,0))*INDEX(Probabilitas!$C$16:$C$22,MATCH(E270,Probabilitas!$A$16:$A$22,0))*INDEX(Probabilitas!$C$27:$C$28,MATCH(F270,Probabilitas!$A$27:$A$28,0))</x:f>
        <x:v>0.0000043025662753556825</x:v>
      </x:c>
      <x:c r="I270" s="26" t="n">
        <x:f>Probabilitas!$C$5*INDEX(Probabilitas!$E$10:$E$11,MATCH(D270,Probabilitas!$A$10:$A$11,0))*INDEX(Probabilitas!$E$16:$E$22,MATCH(E270,Probabilitas!$A$16:$A$22,0))*INDEX(Probabilitas!$E$27:$E$28,MATCH(F270,Probabilitas!$A$27:$A$28,0))</x:f>
        <x:v>0.14973050125660237</x:v>
      </x:c>
      <x:c r="J270" s="26" t="n">
        <x:f>IFERROR(H270/(H270+I270),0)</x:f>
        <x:v>0.00002873457716914777</x:v>
      </x:c>
      <x:c r="K270" s="26" t="n">
        <x:f>IFERROR(I270/(H270+I270),0)</x:f>
        <x:v>0.9999712654228309</x:v>
      </x:c>
      <x:c r="L270" s="24" t="str">
        <x:f>IF(J270&gt;=K270,"Minat","Tidak minat")</x:f>
        <x:v>Tidak minat</x:v>
      </x:c>
      <x:c r="M270" s="24" t="str">
        <x:f>IF(L270=G270,"Sesuai label latih","Berbeda dari label latih")</x:f>
        <x:v>Sesuai label latih</x:v>
      </x:c>
    </x:row>
    <x:row r="271">
      <x:c r="A271" s="24" t="n">
        <x:v>270</x:v>
      </x:c>
      <x:c r="B271" s="24" t="str">
        <x:v>TSM1-L-067</x:v>
      </x:c>
      <x:c r="C271" s="24" t="str">
        <x:v>Siswa TSM1 L-067</x:v>
      </x:c>
      <x:c r="D271" s="24" t="str">
        <x:v>TSM / Teknik Sepeda Motor</x:v>
      </x:c>
      <x:c r="E271" s="24" t="str">
        <x:v>TSM 1</x:v>
      </x:c>
      <x:c r="F271" s="24" t="str">
        <x:v>Laki-laki</x:v>
      </x:c>
      <x:c r="G271" s="24" t="str">
        <x:v>Tidak minat</x:v>
      </x:c>
      <x:c r="H271" s="26" t="n">
        <x:f>Probabilitas!$C$4*INDEX(Probabilitas!$C$10:$C$11,MATCH(D271,Probabilitas!$A$10:$A$11,0))*INDEX(Probabilitas!$C$16:$C$22,MATCH(E271,Probabilitas!$A$16:$A$22,0))*INDEX(Probabilitas!$C$27:$C$28,MATCH(F271,Probabilitas!$A$27:$A$28,0))</x:f>
        <x:v>0.0000043025662753556825</x:v>
      </x:c>
      <x:c r="I271" s="26" t="n">
        <x:f>Probabilitas!$C$5*INDEX(Probabilitas!$E$10:$E$11,MATCH(D271,Probabilitas!$A$10:$A$11,0))*INDEX(Probabilitas!$E$16:$E$22,MATCH(E271,Probabilitas!$A$16:$A$22,0))*INDEX(Probabilitas!$E$27:$E$28,MATCH(F271,Probabilitas!$A$27:$A$28,0))</x:f>
        <x:v>0.14973050125660237</x:v>
      </x:c>
      <x:c r="J271" s="26" t="n">
        <x:f>IFERROR(H271/(H271+I271),0)</x:f>
        <x:v>0.00002873457716914777</x:v>
      </x:c>
      <x:c r="K271" s="26" t="n">
        <x:f>IFERROR(I271/(H271+I271),0)</x:f>
        <x:v>0.9999712654228309</x:v>
      </x:c>
      <x:c r="L271" s="24" t="str">
        <x:f>IF(J271&gt;=K271,"Minat","Tidak minat")</x:f>
        <x:v>Tidak minat</x:v>
      </x:c>
      <x:c r="M271" s="24" t="str">
        <x:f>IF(L271=G271,"Sesuai label latih","Berbeda dari label latih")</x:f>
        <x:v>Sesuai label latih</x:v>
      </x:c>
    </x:row>
    <x:row r="272">
      <x:c r="A272" s="24" t="n">
        <x:v>271</x:v>
      </x:c>
      <x:c r="B272" s="24" t="str">
        <x:v>TSM1-L-068</x:v>
      </x:c>
      <x:c r="C272" s="24" t="str">
        <x:v>Siswa TSM1 L-068</x:v>
      </x:c>
      <x:c r="D272" s="24" t="str">
        <x:v>TSM / Teknik Sepeda Motor</x:v>
      </x:c>
      <x:c r="E272" s="24" t="str">
        <x:v>TSM 1</x:v>
      </x:c>
      <x:c r="F272" s="24" t="str">
        <x:v>Laki-laki</x:v>
      </x:c>
      <x:c r="G272" s="24" t="str">
        <x:v>Tidak minat</x:v>
      </x:c>
      <x:c r="H272" s="26" t="n">
        <x:f>Probabilitas!$C$4*INDEX(Probabilitas!$C$10:$C$11,MATCH(D272,Probabilitas!$A$10:$A$11,0))*INDEX(Probabilitas!$C$16:$C$22,MATCH(E272,Probabilitas!$A$16:$A$22,0))*INDEX(Probabilitas!$C$27:$C$28,MATCH(F272,Probabilitas!$A$27:$A$28,0))</x:f>
        <x:v>0.0000043025662753556825</x:v>
      </x:c>
      <x:c r="I272" s="26" t="n">
        <x:f>Probabilitas!$C$5*INDEX(Probabilitas!$E$10:$E$11,MATCH(D272,Probabilitas!$A$10:$A$11,0))*INDEX(Probabilitas!$E$16:$E$22,MATCH(E272,Probabilitas!$A$16:$A$22,0))*INDEX(Probabilitas!$E$27:$E$28,MATCH(F272,Probabilitas!$A$27:$A$28,0))</x:f>
        <x:v>0.14973050125660237</x:v>
      </x:c>
      <x:c r="J272" s="26" t="n">
        <x:f>IFERROR(H272/(H272+I272),0)</x:f>
        <x:v>0.00002873457716914777</x:v>
      </x:c>
      <x:c r="K272" s="26" t="n">
        <x:f>IFERROR(I272/(H272+I272),0)</x:f>
        <x:v>0.9999712654228309</x:v>
      </x:c>
      <x:c r="L272" s="24" t="str">
        <x:f>IF(J272&gt;=K272,"Minat","Tidak minat")</x:f>
        <x:v>Tidak minat</x:v>
      </x:c>
      <x:c r="M272" s="24" t="str">
        <x:f>IF(L272=G272,"Sesuai label latih","Berbeda dari label latih")</x:f>
        <x:v>Sesuai label latih</x:v>
      </x:c>
    </x:row>
    <x:row r="273">
      <x:c r="A273" s="24" t="n">
        <x:v>272</x:v>
      </x:c>
      <x:c r="B273" s="24" t="str">
        <x:v>TSM1-L-069</x:v>
      </x:c>
      <x:c r="C273" s="24" t="str">
        <x:v>Siswa TSM1 L-069</x:v>
      </x:c>
      <x:c r="D273" s="24" t="str">
        <x:v>TSM / Teknik Sepeda Motor</x:v>
      </x:c>
      <x:c r="E273" s="24" t="str">
        <x:v>TSM 1</x:v>
      </x:c>
      <x:c r="F273" s="24" t="str">
        <x:v>Laki-laki</x:v>
      </x:c>
      <x:c r="G273" s="24" t="str">
        <x:v>Tidak minat</x:v>
      </x:c>
      <x:c r="H273" s="26" t="n">
        <x:f>Probabilitas!$C$4*INDEX(Probabilitas!$C$10:$C$11,MATCH(D273,Probabilitas!$A$10:$A$11,0))*INDEX(Probabilitas!$C$16:$C$22,MATCH(E273,Probabilitas!$A$16:$A$22,0))*INDEX(Probabilitas!$C$27:$C$28,MATCH(F273,Probabilitas!$A$27:$A$28,0))</x:f>
        <x:v>0.0000043025662753556825</x:v>
      </x:c>
      <x:c r="I273" s="26" t="n">
        <x:f>Probabilitas!$C$5*INDEX(Probabilitas!$E$10:$E$11,MATCH(D273,Probabilitas!$A$10:$A$11,0))*INDEX(Probabilitas!$E$16:$E$22,MATCH(E273,Probabilitas!$A$16:$A$22,0))*INDEX(Probabilitas!$E$27:$E$28,MATCH(F273,Probabilitas!$A$27:$A$28,0))</x:f>
        <x:v>0.14973050125660237</x:v>
      </x:c>
      <x:c r="J273" s="26" t="n">
        <x:f>IFERROR(H273/(H273+I273),0)</x:f>
        <x:v>0.00002873457716914777</x:v>
      </x:c>
      <x:c r="K273" s="26" t="n">
        <x:f>IFERROR(I273/(H273+I273),0)</x:f>
        <x:v>0.9999712654228309</x:v>
      </x:c>
      <x:c r="L273" s="24" t="str">
        <x:f>IF(J273&gt;=K273,"Minat","Tidak minat")</x:f>
        <x:v>Tidak minat</x:v>
      </x:c>
      <x:c r="M273" s="24" t="str">
        <x:f>IF(L273=G273,"Sesuai label latih","Berbeda dari label latih")</x:f>
        <x:v>Sesuai label latih</x:v>
      </x:c>
    </x:row>
    <x:row r="274">
      <x:c r="A274" s="24" t="n">
        <x:v>273</x:v>
      </x:c>
      <x:c r="B274" s="24" t="str">
        <x:v>TSM1-L-070</x:v>
      </x:c>
      <x:c r="C274" s="24" t="str">
        <x:v>Siswa TSM1 L-070</x:v>
      </x:c>
      <x:c r="D274" s="24" t="str">
        <x:v>TSM / Teknik Sepeda Motor</x:v>
      </x:c>
      <x:c r="E274" s="24" t="str">
        <x:v>TSM 1</x:v>
      </x:c>
      <x:c r="F274" s="24" t="str">
        <x:v>Laki-laki</x:v>
      </x:c>
      <x:c r="G274" s="24" t="str">
        <x:v>Tidak minat</x:v>
      </x:c>
      <x:c r="H274" s="26" t="n">
        <x:f>Probabilitas!$C$4*INDEX(Probabilitas!$C$10:$C$11,MATCH(D274,Probabilitas!$A$10:$A$11,0))*INDEX(Probabilitas!$C$16:$C$22,MATCH(E274,Probabilitas!$A$16:$A$22,0))*INDEX(Probabilitas!$C$27:$C$28,MATCH(F274,Probabilitas!$A$27:$A$28,0))</x:f>
        <x:v>0.0000043025662753556825</x:v>
      </x:c>
      <x:c r="I274" s="26" t="n">
        <x:f>Probabilitas!$C$5*INDEX(Probabilitas!$E$10:$E$11,MATCH(D274,Probabilitas!$A$10:$A$11,0))*INDEX(Probabilitas!$E$16:$E$22,MATCH(E274,Probabilitas!$A$16:$A$22,0))*INDEX(Probabilitas!$E$27:$E$28,MATCH(F274,Probabilitas!$A$27:$A$28,0))</x:f>
        <x:v>0.14973050125660237</x:v>
      </x:c>
      <x:c r="J274" s="26" t="n">
        <x:f>IFERROR(H274/(H274+I274),0)</x:f>
        <x:v>0.00002873457716914777</x:v>
      </x:c>
      <x:c r="K274" s="26" t="n">
        <x:f>IFERROR(I274/(H274+I274),0)</x:f>
        <x:v>0.9999712654228309</x:v>
      </x:c>
      <x:c r="L274" s="24" t="str">
        <x:f>IF(J274&gt;=K274,"Minat","Tidak minat")</x:f>
        <x:v>Tidak minat</x:v>
      </x:c>
      <x:c r="M274" s="24" t="str">
        <x:f>IF(L274=G274,"Sesuai label latih","Berbeda dari label latih")</x:f>
        <x:v>Sesuai label latih</x:v>
      </x:c>
    </x:row>
    <x:row r="275">
      <x:c r="A275" s="24" t="n">
        <x:v>274</x:v>
      </x:c>
      <x:c r="B275" s="24" t="str">
        <x:v>TSM1-L-071</x:v>
      </x:c>
      <x:c r="C275" s="24" t="str">
        <x:v>Siswa TSM1 L-071</x:v>
      </x:c>
      <x:c r="D275" s="24" t="str">
        <x:v>TSM / Teknik Sepeda Motor</x:v>
      </x:c>
      <x:c r="E275" s="24" t="str">
        <x:v>TSM 1</x:v>
      </x:c>
      <x:c r="F275" s="24" t="str">
        <x:v>Laki-laki</x:v>
      </x:c>
      <x:c r="G275" s="24" t="str">
        <x:v>Tidak minat</x:v>
      </x:c>
      <x:c r="H275" s="26" t="n">
        <x:f>Probabilitas!$C$4*INDEX(Probabilitas!$C$10:$C$11,MATCH(D275,Probabilitas!$A$10:$A$11,0))*INDEX(Probabilitas!$C$16:$C$22,MATCH(E275,Probabilitas!$A$16:$A$22,0))*INDEX(Probabilitas!$C$27:$C$28,MATCH(F275,Probabilitas!$A$27:$A$28,0))</x:f>
        <x:v>0.0000043025662753556825</x:v>
      </x:c>
      <x:c r="I275" s="26" t="n">
        <x:f>Probabilitas!$C$5*INDEX(Probabilitas!$E$10:$E$11,MATCH(D275,Probabilitas!$A$10:$A$11,0))*INDEX(Probabilitas!$E$16:$E$22,MATCH(E275,Probabilitas!$A$16:$A$22,0))*INDEX(Probabilitas!$E$27:$E$28,MATCH(F275,Probabilitas!$A$27:$A$28,0))</x:f>
        <x:v>0.14973050125660237</x:v>
      </x:c>
      <x:c r="J275" s="26" t="n">
        <x:f>IFERROR(H275/(H275+I275),0)</x:f>
        <x:v>0.00002873457716914777</x:v>
      </x:c>
      <x:c r="K275" s="26" t="n">
        <x:f>IFERROR(I275/(H275+I275),0)</x:f>
        <x:v>0.9999712654228309</x:v>
      </x:c>
      <x:c r="L275" s="24" t="str">
        <x:f>IF(J275&gt;=K275,"Minat","Tidak minat")</x:f>
        <x:v>Tidak minat</x:v>
      </x:c>
      <x:c r="M275" s="24" t="str">
        <x:f>IF(L275=G275,"Sesuai label latih","Berbeda dari label latih")</x:f>
        <x:v>Sesuai label latih</x:v>
      </x:c>
    </x:row>
    <x:row r="276">
      <x:c r="A276" s="24" t="n">
        <x:v>275</x:v>
      </x:c>
      <x:c r="B276" s="24" t="str">
        <x:v>TSM1-L-072</x:v>
      </x:c>
      <x:c r="C276" s="24" t="str">
        <x:v>Siswa TSM1 L-072</x:v>
      </x:c>
      <x:c r="D276" s="24" t="str">
        <x:v>TSM / Teknik Sepeda Motor</x:v>
      </x:c>
      <x:c r="E276" s="24" t="str">
        <x:v>TSM 1</x:v>
      </x:c>
      <x:c r="F276" s="24" t="str">
        <x:v>Laki-laki</x:v>
      </x:c>
      <x:c r="G276" s="24" t="str">
        <x:v>Tidak minat</x:v>
      </x:c>
      <x:c r="H276" s="26" t="n">
        <x:f>Probabilitas!$C$4*INDEX(Probabilitas!$C$10:$C$11,MATCH(D276,Probabilitas!$A$10:$A$11,0))*INDEX(Probabilitas!$C$16:$C$22,MATCH(E276,Probabilitas!$A$16:$A$22,0))*INDEX(Probabilitas!$C$27:$C$28,MATCH(F276,Probabilitas!$A$27:$A$28,0))</x:f>
        <x:v>0.0000043025662753556825</x:v>
      </x:c>
      <x:c r="I276" s="26" t="n">
        <x:f>Probabilitas!$C$5*INDEX(Probabilitas!$E$10:$E$11,MATCH(D276,Probabilitas!$A$10:$A$11,0))*INDEX(Probabilitas!$E$16:$E$22,MATCH(E276,Probabilitas!$A$16:$A$22,0))*INDEX(Probabilitas!$E$27:$E$28,MATCH(F276,Probabilitas!$A$27:$A$28,0))</x:f>
        <x:v>0.14973050125660237</x:v>
      </x:c>
      <x:c r="J276" s="26" t="n">
        <x:f>IFERROR(H276/(H276+I276),0)</x:f>
        <x:v>0.00002873457716914777</x:v>
      </x:c>
      <x:c r="K276" s="26" t="n">
        <x:f>IFERROR(I276/(H276+I276),0)</x:f>
        <x:v>0.9999712654228309</x:v>
      </x:c>
      <x:c r="L276" s="24" t="str">
        <x:f>IF(J276&gt;=K276,"Minat","Tidak minat")</x:f>
        <x:v>Tidak minat</x:v>
      </x:c>
      <x:c r="M276" s="24" t="str">
        <x:f>IF(L276=G276,"Sesuai label latih","Berbeda dari label latih")</x:f>
        <x:v>Sesuai label latih</x:v>
      </x:c>
    </x:row>
    <x:row r="277">
      <x:c r="A277" s="24" t="n">
        <x:v>276</x:v>
      </x:c>
      <x:c r="B277" s="24" t="str">
        <x:v>TSM1-L-073</x:v>
      </x:c>
      <x:c r="C277" s="24" t="str">
        <x:v>Siswa TSM1 L-073</x:v>
      </x:c>
      <x:c r="D277" s="24" t="str">
        <x:v>TSM / Teknik Sepeda Motor</x:v>
      </x:c>
      <x:c r="E277" s="24" t="str">
        <x:v>TSM 1</x:v>
      </x:c>
      <x:c r="F277" s="24" t="str">
        <x:v>Laki-laki</x:v>
      </x:c>
      <x:c r="G277" s="24" t="str">
        <x:v>Tidak minat</x:v>
      </x:c>
      <x:c r="H277" s="26" t="n">
        <x:f>Probabilitas!$C$4*INDEX(Probabilitas!$C$10:$C$11,MATCH(D277,Probabilitas!$A$10:$A$11,0))*INDEX(Probabilitas!$C$16:$C$22,MATCH(E277,Probabilitas!$A$16:$A$22,0))*INDEX(Probabilitas!$C$27:$C$28,MATCH(F277,Probabilitas!$A$27:$A$28,0))</x:f>
        <x:v>0.0000043025662753556825</x:v>
      </x:c>
      <x:c r="I277" s="26" t="n">
        <x:f>Probabilitas!$C$5*INDEX(Probabilitas!$E$10:$E$11,MATCH(D277,Probabilitas!$A$10:$A$11,0))*INDEX(Probabilitas!$E$16:$E$22,MATCH(E277,Probabilitas!$A$16:$A$22,0))*INDEX(Probabilitas!$E$27:$E$28,MATCH(F277,Probabilitas!$A$27:$A$28,0))</x:f>
        <x:v>0.14973050125660237</x:v>
      </x:c>
      <x:c r="J277" s="26" t="n">
        <x:f>IFERROR(H277/(H277+I277),0)</x:f>
        <x:v>0.00002873457716914777</x:v>
      </x:c>
      <x:c r="K277" s="26" t="n">
        <x:f>IFERROR(I277/(H277+I277),0)</x:f>
        <x:v>0.9999712654228309</x:v>
      </x:c>
      <x:c r="L277" s="24" t="str">
        <x:f>IF(J277&gt;=K277,"Minat","Tidak minat")</x:f>
        <x:v>Tidak minat</x:v>
      </x:c>
      <x:c r="M277" s="24" t="str">
        <x:f>IF(L277=G277,"Sesuai label latih","Berbeda dari label latih")</x:f>
        <x:v>Sesuai label latih</x:v>
      </x:c>
    </x:row>
    <x:row r="278">
      <x:c r="A278" s="24" t="n">
        <x:v>277</x:v>
      </x:c>
      <x:c r="B278" s="24" t="str">
        <x:v>TSM1-L-074</x:v>
      </x:c>
      <x:c r="C278" s="24" t="str">
        <x:v>Siswa TSM1 L-074</x:v>
      </x:c>
      <x:c r="D278" s="24" t="str">
        <x:v>TSM / Teknik Sepeda Motor</x:v>
      </x:c>
      <x:c r="E278" s="24" t="str">
        <x:v>TSM 1</x:v>
      </x:c>
      <x:c r="F278" s="24" t="str">
        <x:v>Laki-laki</x:v>
      </x:c>
      <x:c r="G278" s="24" t="str">
        <x:v>Tidak minat</x:v>
      </x:c>
      <x:c r="H278" s="26" t="n">
        <x:f>Probabilitas!$C$4*INDEX(Probabilitas!$C$10:$C$11,MATCH(D278,Probabilitas!$A$10:$A$11,0))*INDEX(Probabilitas!$C$16:$C$22,MATCH(E278,Probabilitas!$A$16:$A$22,0))*INDEX(Probabilitas!$C$27:$C$28,MATCH(F278,Probabilitas!$A$27:$A$28,0))</x:f>
        <x:v>0.0000043025662753556825</x:v>
      </x:c>
      <x:c r="I278" s="26" t="n">
        <x:f>Probabilitas!$C$5*INDEX(Probabilitas!$E$10:$E$11,MATCH(D278,Probabilitas!$A$10:$A$11,0))*INDEX(Probabilitas!$E$16:$E$22,MATCH(E278,Probabilitas!$A$16:$A$22,0))*INDEX(Probabilitas!$E$27:$E$28,MATCH(F278,Probabilitas!$A$27:$A$28,0))</x:f>
        <x:v>0.14973050125660237</x:v>
      </x:c>
      <x:c r="J278" s="26" t="n">
        <x:f>IFERROR(H278/(H278+I278),0)</x:f>
        <x:v>0.00002873457716914777</x:v>
      </x:c>
      <x:c r="K278" s="26" t="n">
        <x:f>IFERROR(I278/(H278+I278),0)</x:f>
        <x:v>0.9999712654228309</x:v>
      </x:c>
      <x:c r="L278" s="24" t="str">
        <x:f>IF(J278&gt;=K278,"Minat","Tidak minat")</x:f>
        <x:v>Tidak minat</x:v>
      </x:c>
      <x:c r="M278" s="24" t="str">
        <x:f>IF(L278=G278,"Sesuai label latih","Berbeda dari label latih")</x:f>
        <x:v>Sesuai label latih</x:v>
      </x:c>
    </x:row>
    <x:row r="279">
      <x:c r="A279" s="24" t="n">
        <x:v>278</x:v>
      </x:c>
      <x:c r="B279" s="24" t="str">
        <x:v>TSM1-L-075</x:v>
      </x:c>
      <x:c r="C279" s="24" t="str">
        <x:v>Siswa TSM1 L-075</x:v>
      </x:c>
      <x:c r="D279" s="24" t="str">
        <x:v>TSM / Teknik Sepeda Motor</x:v>
      </x:c>
      <x:c r="E279" s="24" t="str">
        <x:v>TSM 1</x:v>
      </x:c>
      <x:c r="F279" s="24" t="str">
        <x:v>Laki-laki</x:v>
      </x:c>
      <x:c r="G279" s="24" t="str">
        <x:v>Tidak minat</x:v>
      </x:c>
      <x:c r="H279" s="26" t="n">
        <x:f>Probabilitas!$C$4*INDEX(Probabilitas!$C$10:$C$11,MATCH(D279,Probabilitas!$A$10:$A$11,0))*INDEX(Probabilitas!$C$16:$C$22,MATCH(E279,Probabilitas!$A$16:$A$22,0))*INDEX(Probabilitas!$C$27:$C$28,MATCH(F279,Probabilitas!$A$27:$A$28,0))</x:f>
        <x:v>0.0000043025662753556825</x:v>
      </x:c>
      <x:c r="I279" s="26" t="n">
        <x:f>Probabilitas!$C$5*INDEX(Probabilitas!$E$10:$E$11,MATCH(D279,Probabilitas!$A$10:$A$11,0))*INDEX(Probabilitas!$E$16:$E$22,MATCH(E279,Probabilitas!$A$16:$A$22,0))*INDEX(Probabilitas!$E$27:$E$28,MATCH(F279,Probabilitas!$A$27:$A$28,0))</x:f>
        <x:v>0.14973050125660237</x:v>
      </x:c>
      <x:c r="J279" s="26" t="n">
        <x:f>IFERROR(H279/(H279+I279),0)</x:f>
        <x:v>0.00002873457716914777</x:v>
      </x:c>
      <x:c r="K279" s="26" t="n">
        <x:f>IFERROR(I279/(H279+I279),0)</x:f>
        <x:v>0.9999712654228309</x:v>
      </x:c>
      <x:c r="L279" s="24" t="str">
        <x:f>IF(J279&gt;=K279,"Minat","Tidak minat")</x:f>
        <x:v>Tidak minat</x:v>
      </x:c>
      <x:c r="M279" s="24" t="str">
        <x:f>IF(L279=G279,"Sesuai label latih","Berbeda dari label latih")</x:f>
        <x:v>Sesuai label latih</x:v>
      </x:c>
    </x:row>
    <x:row r="280">
      <x:c r="A280" s="24" t="n">
        <x:v>279</x:v>
      </x:c>
      <x:c r="B280" s="24" t="str">
        <x:v>TSM1-L-076</x:v>
      </x:c>
      <x:c r="C280" s="24" t="str">
        <x:v>Siswa TSM1 L-076</x:v>
      </x:c>
      <x:c r="D280" s="24" t="str">
        <x:v>TSM / Teknik Sepeda Motor</x:v>
      </x:c>
      <x:c r="E280" s="24" t="str">
        <x:v>TSM 1</x:v>
      </x:c>
      <x:c r="F280" s="24" t="str">
        <x:v>Laki-laki</x:v>
      </x:c>
      <x:c r="G280" s="24" t="str">
        <x:v>Tidak minat</x:v>
      </x:c>
      <x:c r="H280" s="26" t="n">
        <x:f>Probabilitas!$C$4*INDEX(Probabilitas!$C$10:$C$11,MATCH(D280,Probabilitas!$A$10:$A$11,0))*INDEX(Probabilitas!$C$16:$C$22,MATCH(E280,Probabilitas!$A$16:$A$22,0))*INDEX(Probabilitas!$C$27:$C$28,MATCH(F280,Probabilitas!$A$27:$A$28,0))</x:f>
        <x:v>0.0000043025662753556825</x:v>
      </x:c>
      <x:c r="I280" s="26" t="n">
        <x:f>Probabilitas!$C$5*INDEX(Probabilitas!$E$10:$E$11,MATCH(D280,Probabilitas!$A$10:$A$11,0))*INDEX(Probabilitas!$E$16:$E$22,MATCH(E280,Probabilitas!$A$16:$A$22,0))*INDEX(Probabilitas!$E$27:$E$28,MATCH(F280,Probabilitas!$A$27:$A$28,0))</x:f>
        <x:v>0.14973050125660237</x:v>
      </x:c>
      <x:c r="J280" s="26" t="n">
        <x:f>IFERROR(H280/(H280+I280),0)</x:f>
        <x:v>0.00002873457716914777</x:v>
      </x:c>
      <x:c r="K280" s="26" t="n">
        <x:f>IFERROR(I280/(H280+I280),0)</x:f>
        <x:v>0.9999712654228309</x:v>
      </x:c>
      <x:c r="L280" s="24" t="str">
        <x:f>IF(J280&gt;=K280,"Minat","Tidak minat")</x:f>
        <x:v>Tidak minat</x:v>
      </x:c>
      <x:c r="M280" s="24" t="str">
        <x:f>IF(L280=G280,"Sesuai label latih","Berbeda dari label latih")</x:f>
        <x:v>Sesuai label latih</x:v>
      </x:c>
    </x:row>
    <x:row r="281">
      <x:c r="A281" s="24" t="n">
        <x:v>280</x:v>
      </x:c>
      <x:c r="B281" s="24" t="str">
        <x:v>TSM1-L-077</x:v>
      </x:c>
      <x:c r="C281" s="24" t="str">
        <x:v>Siswa TSM1 L-077</x:v>
      </x:c>
      <x:c r="D281" s="24" t="str">
        <x:v>TSM / Teknik Sepeda Motor</x:v>
      </x:c>
      <x:c r="E281" s="24" t="str">
        <x:v>TSM 1</x:v>
      </x:c>
      <x:c r="F281" s="24" t="str">
        <x:v>Laki-laki</x:v>
      </x:c>
      <x:c r="G281" s="24" t="str">
        <x:v>Tidak minat</x:v>
      </x:c>
      <x:c r="H281" s="26" t="n">
        <x:f>Probabilitas!$C$4*INDEX(Probabilitas!$C$10:$C$11,MATCH(D281,Probabilitas!$A$10:$A$11,0))*INDEX(Probabilitas!$C$16:$C$22,MATCH(E281,Probabilitas!$A$16:$A$22,0))*INDEX(Probabilitas!$C$27:$C$28,MATCH(F281,Probabilitas!$A$27:$A$28,0))</x:f>
        <x:v>0.0000043025662753556825</x:v>
      </x:c>
      <x:c r="I281" s="26" t="n">
        <x:f>Probabilitas!$C$5*INDEX(Probabilitas!$E$10:$E$11,MATCH(D281,Probabilitas!$A$10:$A$11,0))*INDEX(Probabilitas!$E$16:$E$22,MATCH(E281,Probabilitas!$A$16:$A$22,0))*INDEX(Probabilitas!$E$27:$E$28,MATCH(F281,Probabilitas!$A$27:$A$28,0))</x:f>
        <x:v>0.14973050125660237</x:v>
      </x:c>
      <x:c r="J281" s="26" t="n">
        <x:f>IFERROR(H281/(H281+I281),0)</x:f>
        <x:v>0.00002873457716914777</x:v>
      </x:c>
      <x:c r="K281" s="26" t="n">
        <x:f>IFERROR(I281/(H281+I281),0)</x:f>
        <x:v>0.9999712654228309</x:v>
      </x:c>
      <x:c r="L281" s="24" t="str">
        <x:f>IF(J281&gt;=K281,"Minat","Tidak minat")</x:f>
        <x:v>Tidak minat</x:v>
      </x:c>
      <x:c r="M281" s="24" t="str">
        <x:f>IF(L281=G281,"Sesuai label latih","Berbeda dari label latih")</x:f>
        <x:v>Sesuai label latih</x:v>
      </x:c>
    </x:row>
    <x:row r="282">
      <x:c r="A282" s="24" t="n">
        <x:v>281</x:v>
      </x:c>
      <x:c r="B282" s="24" t="str">
        <x:v>TSM1-L-078</x:v>
      </x:c>
      <x:c r="C282" s="24" t="str">
        <x:v>Siswa TSM1 L-078</x:v>
      </x:c>
      <x:c r="D282" s="24" t="str">
        <x:v>TSM / Teknik Sepeda Motor</x:v>
      </x:c>
      <x:c r="E282" s="24" t="str">
        <x:v>TSM 1</x:v>
      </x:c>
      <x:c r="F282" s="24" t="str">
        <x:v>Laki-laki</x:v>
      </x:c>
      <x:c r="G282" s="24" t="str">
        <x:v>Tidak minat</x:v>
      </x:c>
      <x:c r="H282" s="26" t="n">
        <x:f>Probabilitas!$C$4*INDEX(Probabilitas!$C$10:$C$11,MATCH(D282,Probabilitas!$A$10:$A$11,0))*INDEX(Probabilitas!$C$16:$C$22,MATCH(E282,Probabilitas!$A$16:$A$22,0))*INDEX(Probabilitas!$C$27:$C$28,MATCH(F282,Probabilitas!$A$27:$A$28,0))</x:f>
        <x:v>0.0000043025662753556825</x:v>
      </x:c>
      <x:c r="I282" s="26" t="n">
        <x:f>Probabilitas!$C$5*INDEX(Probabilitas!$E$10:$E$11,MATCH(D282,Probabilitas!$A$10:$A$11,0))*INDEX(Probabilitas!$E$16:$E$22,MATCH(E282,Probabilitas!$A$16:$A$22,0))*INDEX(Probabilitas!$E$27:$E$28,MATCH(F282,Probabilitas!$A$27:$A$28,0))</x:f>
        <x:v>0.14973050125660237</x:v>
      </x:c>
      <x:c r="J282" s="26" t="n">
        <x:f>IFERROR(H282/(H282+I282),0)</x:f>
        <x:v>0.00002873457716914777</x:v>
      </x:c>
      <x:c r="K282" s="26" t="n">
        <x:f>IFERROR(I282/(H282+I282),0)</x:f>
        <x:v>0.9999712654228309</x:v>
      </x:c>
      <x:c r="L282" s="24" t="str">
        <x:f>IF(J282&gt;=K282,"Minat","Tidak minat")</x:f>
        <x:v>Tidak minat</x:v>
      </x:c>
      <x:c r="M282" s="24" t="str">
        <x:f>IF(L282=G282,"Sesuai label latih","Berbeda dari label latih")</x:f>
        <x:v>Sesuai label latih</x:v>
      </x:c>
    </x:row>
    <x:row r="283">
      <x:c r="A283" s="24" t="n">
        <x:v>282</x:v>
      </x:c>
      <x:c r="B283" s="24" t="str">
        <x:v>TSM1-L-079</x:v>
      </x:c>
      <x:c r="C283" s="24" t="str">
        <x:v>Siswa TSM1 L-079</x:v>
      </x:c>
      <x:c r="D283" s="24" t="str">
        <x:v>TSM / Teknik Sepeda Motor</x:v>
      </x:c>
      <x:c r="E283" s="24" t="str">
        <x:v>TSM 1</x:v>
      </x:c>
      <x:c r="F283" s="24" t="str">
        <x:v>Laki-laki</x:v>
      </x:c>
      <x:c r="G283" s="24" t="str">
        <x:v>Tidak minat</x:v>
      </x:c>
      <x:c r="H283" s="26" t="n">
        <x:f>Probabilitas!$C$4*INDEX(Probabilitas!$C$10:$C$11,MATCH(D283,Probabilitas!$A$10:$A$11,0))*INDEX(Probabilitas!$C$16:$C$22,MATCH(E283,Probabilitas!$A$16:$A$22,0))*INDEX(Probabilitas!$C$27:$C$28,MATCH(F283,Probabilitas!$A$27:$A$28,0))</x:f>
        <x:v>0.0000043025662753556825</x:v>
      </x:c>
      <x:c r="I283" s="26" t="n">
        <x:f>Probabilitas!$C$5*INDEX(Probabilitas!$E$10:$E$11,MATCH(D283,Probabilitas!$A$10:$A$11,0))*INDEX(Probabilitas!$E$16:$E$22,MATCH(E283,Probabilitas!$A$16:$A$22,0))*INDEX(Probabilitas!$E$27:$E$28,MATCH(F283,Probabilitas!$A$27:$A$28,0))</x:f>
        <x:v>0.14973050125660237</x:v>
      </x:c>
      <x:c r="J283" s="26" t="n">
        <x:f>IFERROR(H283/(H283+I283),0)</x:f>
        <x:v>0.00002873457716914777</x:v>
      </x:c>
      <x:c r="K283" s="26" t="n">
        <x:f>IFERROR(I283/(H283+I283),0)</x:f>
        <x:v>0.9999712654228309</x:v>
      </x:c>
      <x:c r="L283" s="24" t="str">
        <x:f>IF(J283&gt;=K283,"Minat","Tidak minat")</x:f>
        <x:v>Tidak minat</x:v>
      </x:c>
      <x:c r="M283" s="24" t="str">
        <x:f>IF(L283=G283,"Sesuai label latih","Berbeda dari label latih")</x:f>
        <x:v>Sesuai label latih</x:v>
      </x:c>
    </x:row>
    <x:row r="284">
      <x:c r="A284" s="24" t="n">
        <x:v>283</x:v>
      </x:c>
      <x:c r="B284" s="24" t="str">
        <x:v>TSM1-L-080</x:v>
      </x:c>
      <x:c r="C284" s="24" t="str">
        <x:v>Siswa TSM1 L-080</x:v>
      </x:c>
      <x:c r="D284" s="24" t="str">
        <x:v>TSM / Teknik Sepeda Motor</x:v>
      </x:c>
      <x:c r="E284" s="24" t="str">
        <x:v>TSM 1</x:v>
      </x:c>
      <x:c r="F284" s="24" t="str">
        <x:v>Laki-laki</x:v>
      </x:c>
      <x:c r="G284" s="24" t="str">
        <x:v>Tidak minat</x:v>
      </x:c>
      <x:c r="H284" s="26" t="n">
        <x:f>Probabilitas!$C$4*INDEX(Probabilitas!$C$10:$C$11,MATCH(D284,Probabilitas!$A$10:$A$11,0))*INDEX(Probabilitas!$C$16:$C$22,MATCH(E284,Probabilitas!$A$16:$A$22,0))*INDEX(Probabilitas!$C$27:$C$28,MATCH(F284,Probabilitas!$A$27:$A$28,0))</x:f>
        <x:v>0.0000043025662753556825</x:v>
      </x:c>
      <x:c r="I284" s="26" t="n">
        <x:f>Probabilitas!$C$5*INDEX(Probabilitas!$E$10:$E$11,MATCH(D284,Probabilitas!$A$10:$A$11,0))*INDEX(Probabilitas!$E$16:$E$22,MATCH(E284,Probabilitas!$A$16:$A$22,0))*INDEX(Probabilitas!$E$27:$E$28,MATCH(F284,Probabilitas!$A$27:$A$28,0))</x:f>
        <x:v>0.14973050125660237</x:v>
      </x:c>
      <x:c r="J284" s="26" t="n">
        <x:f>IFERROR(H284/(H284+I284),0)</x:f>
        <x:v>0.00002873457716914777</x:v>
      </x:c>
      <x:c r="K284" s="26" t="n">
        <x:f>IFERROR(I284/(H284+I284),0)</x:f>
        <x:v>0.9999712654228309</x:v>
      </x:c>
      <x:c r="L284" s="24" t="str">
        <x:f>IF(J284&gt;=K284,"Minat","Tidak minat")</x:f>
        <x:v>Tidak minat</x:v>
      </x:c>
      <x:c r="M284" s="24" t="str">
        <x:f>IF(L284=G284,"Sesuai label latih","Berbeda dari label latih")</x:f>
        <x:v>Sesuai label latih</x:v>
      </x:c>
    </x:row>
    <x:row r="285">
      <x:c r="A285" s="24" t="n">
        <x:v>284</x:v>
      </x:c>
      <x:c r="B285" s="24" t="str">
        <x:v>TSM1-L-081</x:v>
      </x:c>
      <x:c r="C285" s="24" t="str">
        <x:v>Siswa TSM1 L-081</x:v>
      </x:c>
      <x:c r="D285" s="24" t="str">
        <x:v>TSM / Teknik Sepeda Motor</x:v>
      </x:c>
      <x:c r="E285" s="24" t="str">
        <x:v>TSM 1</x:v>
      </x:c>
      <x:c r="F285" s="24" t="str">
        <x:v>Laki-laki</x:v>
      </x:c>
      <x:c r="G285" s="24" t="str">
        <x:v>Tidak minat</x:v>
      </x:c>
      <x:c r="H285" s="26" t="n">
        <x:f>Probabilitas!$C$4*INDEX(Probabilitas!$C$10:$C$11,MATCH(D285,Probabilitas!$A$10:$A$11,0))*INDEX(Probabilitas!$C$16:$C$22,MATCH(E285,Probabilitas!$A$16:$A$22,0))*INDEX(Probabilitas!$C$27:$C$28,MATCH(F285,Probabilitas!$A$27:$A$28,0))</x:f>
        <x:v>0.0000043025662753556825</x:v>
      </x:c>
      <x:c r="I285" s="26" t="n">
        <x:f>Probabilitas!$C$5*INDEX(Probabilitas!$E$10:$E$11,MATCH(D285,Probabilitas!$A$10:$A$11,0))*INDEX(Probabilitas!$E$16:$E$22,MATCH(E285,Probabilitas!$A$16:$A$22,0))*INDEX(Probabilitas!$E$27:$E$28,MATCH(F285,Probabilitas!$A$27:$A$28,0))</x:f>
        <x:v>0.14973050125660237</x:v>
      </x:c>
      <x:c r="J285" s="26" t="n">
        <x:f>IFERROR(H285/(H285+I285),0)</x:f>
        <x:v>0.00002873457716914777</x:v>
      </x:c>
      <x:c r="K285" s="26" t="n">
        <x:f>IFERROR(I285/(H285+I285),0)</x:f>
        <x:v>0.9999712654228309</x:v>
      </x:c>
      <x:c r="L285" s="24" t="str">
        <x:f>IF(J285&gt;=K285,"Minat","Tidak minat")</x:f>
        <x:v>Tidak minat</x:v>
      </x:c>
      <x:c r="M285" s="24" t="str">
        <x:f>IF(L285=G285,"Sesuai label latih","Berbeda dari label latih")</x:f>
        <x:v>Sesuai label latih</x:v>
      </x:c>
    </x:row>
    <x:row r="286">
      <x:c r="A286" s="24" t="n">
        <x:v>285</x:v>
      </x:c>
      <x:c r="B286" s="24" t="str">
        <x:v>TSM1-L-082</x:v>
      </x:c>
      <x:c r="C286" s="24" t="str">
        <x:v>Siswa TSM1 L-082</x:v>
      </x:c>
      <x:c r="D286" s="24" t="str">
        <x:v>TSM / Teknik Sepeda Motor</x:v>
      </x:c>
      <x:c r="E286" s="24" t="str">
        <x:v>TSM 1</x:v>
      </x:c>
      <x:c r="F286" s="24" t="str">
        <x:v>Laki-laki</x:v>
      </x:c>
      <x:c r="G286" s="24" t="str">
        <x:v>Tidak minat</x:v>
      </x:c>
      <x:c r="H286" s="26" t="n">
        <x:f>Probabilitas!$C$4*INDEX(Probabilitas!$C$10:$C$11,MATCH(D286,Probabilitas!$A$10:$A$11,0))*INDEX(Probabilitas!$C$16:$C$22,MATCH(E286,Probabilitas!$A$16:$A$22,0))*INDEX(Probabilitas!$C$27:$C$28,MATCH(F286,Probabilitas!$A$27:$A$28,0))</x:f>
        <x:v>0.0000043025662753556825</x:v>
      </x:c>
      <x:c r="I286" s="26" t="n">
        <x:f>Probabilitas!$C$5*INDEX(Probabilitas!$E$10:$E$11,MATCH(D286,Probabilitas!$A$10:$A$11,0))*INDEX(Probabilitas!$E$16:$E$22,MATCH(E286,Probabilitas!$A$16:$A$22,0))*INDEX(Probabilitas!$E$27:$E$28,MATCH(F286,Probabilitas!$A$27:$A$28,0))</x:f>
        <x:v>0.14973050125660237</x:v>
      </x:c>
      <x:c r="J286" s="26" t="n">
        <x:f>IFERROR(H286/(H286+I286),0)</x:f>
        <x:v>0.00002873457716914777</x:v>
      </x:c>
      <x:c r="K286" s="26" t="n">
        <x:f>IFERROR(I286/(H286+I286),0)</x:f>
        <x:v>0.9999712654228309</x:v>
      </x:c>
      <x:c r="L286" s="24" t="str">
        <x:f>IF(J286&gt;=K286,"Minat","Tidak minat")</x:f>
        <x:v>Tidak minat</x:v>
      </x:c>
      <x:c r="M286" s="24" t="str">
        <x:f>IF(L286=G286,"Sesuai label latih","Berbeda dari label latih")</x:f>
        <x:v>Sesuai label latih</x:v>
      </x:c>
    </x:row>
    <x:row r="287">
      <x:c r="A287" s="24" t="n">
        <x:v>286</x:v>
      </x:c>
      <x:c r="B287" s="24" t="str">
        <x:v>TSM1-L-083</x:v>
      </x:c>
      <x:c r="C287" s="24" t="str">
        <x:v>Siswa TSM1 L-083</x:v>
      </x:c>
      <x:c r="D287" s="24" t="str">
        <x:v>TSM / Teknik Sepeda Motor</x:v>
      </x:c>
      <x:c r="E287" s="24" t="str">
        <x:v>TSM 1</x:v>
      </x:c>
      <x:c r="F287" s="24" t="str">
        <x:v>Laki-laki</x:v>
      </x:c>
      <x:c r="G287" s="24" t="str">
        <x:v>Tidak minat</x:v>
      </x:c>
      <x:c r="H287" s="26" t="n">
        <x:f>Probabilitas!$C$4*INDEX(Probabilitas!$C$10:$C$11,MATCH(D287,Probabilitas!$A$10:$A$11,0))*INDEX(Probabilitas!$C$16:$C$22,MATCH(E287,Probabilitas!$A$16:$A$22,0))*INDEX(Probabilitas!$C$27:$C$28,MATCH(F287,Probabilitas!$A$27:$A$28,0))</x:f>
        <x:v>0.0000043025662753556825</x:v>
      </x:c>
      <x:c r="I287" s="26" t="n">
        <x:f>Probabilitas!$C$5*INDEX(Probabilitas!$E$10:$E$11,MATCH(D287,Probabilitas!$A$10:$A$11,0))*INDEX(Probabilitas!$E$16:$E$22,MATCH(E287,Probabilitas!$A$16:$A$22,0))*INDEX(Probabilitas!$E$27:$E$28,MATCH(F287,Probabilitas!$A$27:$A$28,0))</x:f>
        <x:v>0.14973050125660237</x:v>
      </x:c>
      <x:c r="J287" s="26" t="n">
        <x:f>IFERROR(H287/(H287+I287),0)</x:f>
        <x:v>0.00002873457716914777</x:v>
      </x:c>
      <x:c r="K287" s="26" t="n">
        <x:f>IFERROR(I287/(H287+I287),0)</x:f>
        <x:v>0.9999712654228309</x:v>
      </x:c>
      <x:c r="L287" s="24" t="str">
        <x:f>IF(J287&gt;=K287,"Minat","Tidak minat")</x:f>
        <x:v>Tidak minat</x:v>
      </x:c>
      <x:c r="M287" s="24" t="str">
        <x:f>IF(L287=G287,"Sesuai label latih","Berbeda dari label latih")</x:f>
        <x:v>Sesuai label latih</x:v>
      </x:c>
    </x:row>
    <x:row r="288">
      <x:c r="A288" s="24" t="n">
        <x:v>287</x:v>
      </x:c>
      <x:c r="B288" s="24" t="str">
        <x:v>TSM1-P-001</x:v>
      </x:c>
      <x:c r="C288" s="24" t="str">
        <x:v>Siswa TSM1 P-001</x:v>
      </x:c>
      <x:c r="D288" s="24" t="str">
        <x:v>TSM / Teknik Sepeda Motor</x:v>
      </x:c>
      <x:c r="E288" s="24" t="str">
        <x:v>TSM 1</x:v>
      </x:c>
      <x:c r="F288" s="24" t="str">
        <x:v>Perempuan</x:v>
      </x:c>
      <x:c r="G288" s="24" t="str">
        <x:v>Tidak minat</x:v>
      </x:c>
      <x:c r="H288" s="26" t="n">
        <x:f>Probabilitas!$C$4*INDEX(Probabilitas!$C$10:$C$11,MATCH(D288,Probabilitas!$A$10:$A$11,0))*INDEX(Probabilitas!$C$16:$C$22,MATCH(E288,Probabilitas!$A$16:$A$22,0))*INDEX(Probabilitas!$C$27:$C$28,MATCH(F288,Probabilitas!$A$27:$A$28,0))</x:f>
        <x:v>0.000004178453786643499</x:v>
      </x:c>
      <x:c r="I288" s="26" t="n">
        <x:f>Probabilitas!$C$5*INDEX(Probabilitas!$E$10:$E$11,MATCH(D288,Probabilitas!$A$10:$A$11,0))*INDEX(Probabilitas!$E$16:$E$22,MATCH(E288,Probabilitas!$A$16:$A$22,0))*INDEX(Probabilitas!$E$27:$E$28,MATCH(F288,Probabilitas!$A$27:$A$28,0))</x:f>
        <x:v>0.013821277039070988</x:v>
      </x:c>
      <x:c r="J288" s="26" t="n">
        <x:f>IFERROR(H288/(H288+I288),0)</x:f>
        <x:v>0.0003022290143570409</x:v>
      </x:c>
      <x:c r="K288" s="26" t="n">
        <x:f>IFERROR(I288/(H288+I288),0)</x:f>
        <x:v>0.9996977709856429</x:v>
      </x:c>
      <x:c r="L288" s="24" t="str">
        <x:f>IF(J288&gt;=K288,"Minat","Tidak minat")</x:f>
        <x:v>Tidak minat</x:v>
      </x:c>
      <x:c r="M288" s="24" t="str">
        <x:f>IF(L288=G288,"Sesuai label latih","Berbeda dari label latih")</x:f>
        <x:v>Sesuai label latih</x:v>
      </x:c>
    </x:row>
    <x:row r="289">
      <x:c r="A289" s="24" t="n">
        <x:v>288</x:v>
      </x:c>
      <x:c r="B289" s="24" t="str">
        <x:v>TSM1-P-002</x:v>
      </x:c>
      <x:c r="C289" s="24" t="str">
        <x:v>Siswa TSM1 P-002</x:v>
      </x:c>
      <x:c r="D289" s="24" t="str">
        <x:v>TSM / Teknik Sepeda Motor</x:v>
      </x:c>
      <x:c r="E289" s="24" t="str">
        <x:v>TSM 1</x:v>
      </x:c>
      <x:c r="F289" s="24" t="str">
        <x:v>Perempuan</x:v>
      </x:c>
      <x:c r="G289" s="24" t="str">
        <x:v>Tidak minat</x:v>
      </x:c>
      <x:c r="H289" s="26" t="n">
        <x:f>Probabilitas!$C$4*INDEX(Probabilitas!$C$10:$C$11,MATCH(D289,Probabilitas!$A$10:$A$11,0))*INDEX(Probabilitas!$C$16:$C$22,MATCH(E289,Probabilitas!$A$16:$A$22,0))*INDEX(Probabilitas!$C$27:$C$28,MATCH(F289,Probabilitas!$A$27:$A$28,0))</x:f>
        <x:v>0.000004178453786643499</x:v>
      </x:c>
      <x:c r="I289" s="26" t="n">
        <x:f>Probabilitas!$C$5*INDEX(Probabilitas!$E$10:$E$11,MATCH(D289,Probabilitas!$A$10:$A$11,0))*INDEX(Probabilitas!$E$16:$E$22,MATCH(E289,Probabilitas!$A$16:$A$22,0))*INDEX(Probabilitas!$E$27:$E$28,MATCH(F289,Probabilitas!$A$27:$A$28,0))</x:f>
        <x:v>0.013821277039070988</x:v>
      </x:c>
      <x:c r="J289" s="26" t="n">
        <x:f>IFERROR(H289/(H289+I289),0)</x:f>
        <x:v>0.0003022290143570409</x:v>
      </x:c>
      <x:c r="K289" s="26" t="n">
        <x:f>IFERROR(I289/(H289+I289),0)</x:f>
        <x:v>0.9996977709856429</x:v>
      </x:c>
      <x:c r="L289" s="24" t="str">
        <x:f>IF(J289&gt;=K289,"Minat","Tidak minat")</x:f>
        <x:v>Tidak minat</x:v>
      </x:c>
      <x:c r="M289" s="24" t="str">
        <x:f>IF(L289=G289,"Sesuai label latih","Berbeda dari label latih")</x:f>
        <x:v>Sesuai label latih</x:v>
      </x:c>
    </x:row>
    <x:row r="290">
      <x:c r="A290" s="24" t="n">
        <x:v>289</x:v>
      </x:c>
      <x:c r="B290" s="24" t="str">
        <x:v>TSM1-P-003</x:v>
      </x:c>
      <x:c r="C290" s="24" t="str">
        <x:v>Siswa TSM1 P-003</x:v>
      </x:c>
      <x:c r="D290" s="24" t="str">
        <x:v>TSM / Teknik Sepeda Motor</x:v>
      </x:c>
      <x:c r="E290" s="24" t="str">
        <x:v>TSM 1</x:v>
      </x:c>
      <x:c r="F290" s="24" t="str">
        <x:v>Perempuan</x:v>
      </x:c>
      <x:c r="G290" s="24" t="str">
        <x:v>Tidak minat</x:v>
      </x:c>
      <x:c r="H290" s="26" t="n">
        <x:f>Probabilitas!$C$4*INDEX(Probabilitas!$C$10:$C$11,MATCH(D290,Probabilitas!$A$10:$A$11,0))*INDEX(Probabilitas!$C$16:$C$22,MATCH(E290,Probabilitas!$A$16:$A$22,0))*INDEX(Probabilitas!$C$27:$C$28,MATCH(F290,Probabilitas!$A$27:$A$28,0))</x:f>
        <x:v>0.000004178453786643499</x:v>
      </x:c>
      <x:c r="I290" s="26" t="n">
        <x:f>Probabilitas!$C$5*INDEX(Probabilitas!$E$10:$E$11,MATCH(D290,Probabilitas!$A$10:$A$11,0))*INDEX(Probabilitas!$E$16:$E$22,MATCH(E290,Probabilitas!$A$16:$A$22,0))*INDEX(Probabilitas!$E$27:$E$28,MATCH(F290,Probabilitas!$A$27:$A$28,0))</x:f>
        <x:v>0.013821277039070988</x:v>
      </x:c>
      <x:c r="J290" s="26" t="n">
        <x:f>IFERROR(H290/(H290+I290),0)</x:f>
        <x:v>0.0003022290143570409</x:v>
      </x:c>
      <x:c r="K290" s="26" t="n">
        <x:f>IFERROR(I290/(H290+I290),0)</x:f>
        <x:v>0.9996977709856429</x:v>
      </x:c>
      <x:c r="L290" s="24" t="str">
        <x:f>IF(J290&gt;=K290,"Minat","Tidak minat")</x:f>
        <x:v>Tidak minat</x:v>
      </x:c>
      <x:c r="M290" s="24" t="str">
        <x:f>IF(L290=G290,"Sesuai label latih","Berbeda dari label latih")</x:f>
        <x:v>Sesuai label latih</x:v>
      </x:c>
    </x:row>
    <x:row r="291">
      <x:c r="A291" s="24" t="n">
        <x:v>290</x:v>
      </x:c>
      <x:c r="B291" s="24" t="str">
        <x:v>TSM1-P-004</x:v>
      </x:c>
      <x:c r="C291" s="24" t="str">
        <x:v>Siswa TSM1 P-004</x:v>
      </x:c>
      <x:c r="D291" s="24" t="str">
        <x:v>TSM / Teknik Sepeda Motor</x:v>
      </x:c>
      <x:c r="E291" s="24" t="str">
        <x:v>TSM 1</x:v>
      </x:c>
      <x:c r="F291" s="24" t="str">
        <x:v>Perempuan</x:v>
      </x:c>
      <x:c r="G291" s="24" t="str">
        <x:v>Tidak minat</x:v>
      </x:c>
      <x:c r="H291" s="26" t="n">
        <x:f>Probabilitas!$C$4*INDEX(Probabilitas!$C$10:$C$11,MATCH(D291,Probabilitas!$A$10:$A$11,0))*INDEX(Probabilitas!$C$16:$C$22,MATCH(E291,Probabilitas!$A$16:$A$22,0))*INDEX(Probabilitas!$C$27:$C$28,MATCH(F291,Probabilitas!$A$27:$A$28,0))</x:f>
        <x:v>0.000004178453786643499</x:v>
      </x:c>
      <x:c r="I291" s="26" t="n">
        <x:f>Probabilitas!$C$5*INDEX(Probabilitas!$E$10:$E$11,MATCH(D291,Probabilitas!$A$10:$A$11,0))*INDEX(Probabilitas!$E$16:$E$22,MATCH(E291,Probabilitas!$A$16:$A$22,0))*INDEX(Probabilitas!$E$27:$E$28,MATCH(F291,Probabilitas!$A$27:$A$28,0))</x:f>
        <x:v>0.013821277039070988</x:v>
      </x:c>
      <x:c r="J291" s="26" t="n">
        <x:f>IFERROR(H291/(H291+I291),0)</x:f>
        <x:v>0.0003022290143570409</x:v>
      </x:c>
      <x:c r="K291" s="26" t="n">
        <x:f>IFERROR(I291/(H291+I291),0)</x:f>
        <x:v>0.9996977709856429</x:v>
      </x:c>
      <x:c r="L291" s="24" t="str">
        <x:f>IF(J291&gt;=K291,"Minat","Tidak minat")</x:f>
        <x:v>Tidak minat</x:v>
      </x:c>
      <x:c r="M291" s="24" t="str">
        <x:f>IF(L291=G291,"Sesuai label latih","Berbeda dari label latih")</x:f>
        <x:v>Sesuai label latih</x:v>
      </x:c>
    </x:row>
    <x:row r="292">
      <x:c r="A292" s="24" t="n">
        <x:v>291</x:v>
      </x:c>
      <x:c r="B292" s="24" t="str">
        <x:v>TSM1-P-005</x:v>
      </x:c>
      <x:c r="C292" s="24" t="str">
        <x:v>Siswa TSM1 P-005</x:v>
      </x:c>
      <x:c r="D292" s="24" t="str">
        <x:v>TSM / Teknik Sepeda Motor</x:v>
      </x:c>
      <x:c r="E292" s="24" t="str">
        <x:v>TSM 1</x:v>
      </x:c>
      <x:c r="F292" s="24" t="str">
        <x:v>Perempuan</x:v>
      </x:c>
      <x:c r="G292" s="24" t="str">
        <x:v>Tidak minat</x:v>
      </x:c>
      <x:c r="H292" s="26" t="n">
        <x:f>Probabilitas!$C$4*INDEX(Probabilitas!$C$10:$C$11,MATCH(D292,Probabilitas!$A$10:$A$11,0))*INDEX(Probabilitas!$C$16:$C$22,MATCH(E292,Probabilitas!$A$16:$A$22,0))*INDEX(Probabilitas!$C$27:$C$28,MATCH(F292,Probabilitas!$A$27:$A$28,0))</x:f>
        <x:v>0.000004178453786643499</x:v>
      </x:c>
      <x:c r="I292" s="26" t="n">
        <x:f>Probabilitas!$C$5*INDEX(Probabilitas!$E$10:$E$11,MATCH(D292,Probabilitas!$A$10:$A$11,0))*INDEX(Probabilitas!$E$16:$E$22,MATCH(E292,Probabilitas!$A$16:$A$22,0))*INDEX(Probabilitas!$E$27:$E$28,MATCH(F292,Probabilitas!$A$27:$A$28,0))</x:f>
        <x:v>0.013821277039070988</x:v>
      </x:c>
      <x:c r="J292" s="26" t="n">
        <x:f>IFERROR(H292/(H292+I292),0)</x:f>
        <x:v>0.0003022290143570409</x:v>
      </x:c>
      <x:c r="K292" s="26" t="n">
        <x:f>IFERROR(I292/(H292+I292),0)</x:f>
        <x:v>0.9996977709856429</x:v>
      </x:c>
      <x:c r="L292" s="24" t="str">
        <x:f>IF(J292&gt;=K292,"Minat","Tidak minat")</x:f>
        <x:v>Tidak minat</x:v>
      </x:c>
      <x:c r="M292" s="24" t="str">
        <x:f>IF(L292=G292,"Sesuai label latih","Berbeda dari label latih")</x:f>
        <x:v>Sesuai label latih</x:v>
      </x:c>
    </x:row>
    <x:row r="293">
      <x:c r="A293" s="24" t="n">
        <x:v>292</x:v>
      </x:c>
      <x:c r="B293" s="24" t="str">
        <x:v>TSM1-P-006</x:v>
      </x:c>
      <x:c r="C293" s="24" t="str">
        <x:v>Siswa TSM1 P-006</x:v>
      </x:c>
      <x:c r="D293" s="24" t="str">
        <x:v>TSM / Teknik Sepeda Motor</x:v>
      </x:c>
      <x:c r="E293" s="24" t="str">
        <x:v>TSM 1</x:v>
      </x:c>
      <x:c r="F293" s="24" t="str">
        <x:v>Perempuan</x:v>
      </x:c>
      <x:c r="G293" s="24" t="str">
        <x:v>Tidak minat</x:v>
      </x:c>
      <x:c r="H293" s="26" t="n">
        <x:f>Probabilitas!$C$4*INDEX(Probabilitas!$C$10:$C$11,MATCH(D293,Probabilitas!$A$10:$A$11,0))*INDEX(Probabilitas!$C$16:$C$22,MATCH(E293,Probabilitas!$A$16:$A$22,0))*INDEX(Probabilitas!$C$27:$C$28,MATCH(F293,Probabilitas!$A$27:$A$28,0))</x:f>
        <x:v>0.000004178453786643499</x:v>
      </x:c>
      <x:c r="I293" s="26" t="n">
        <x:f>Probabilitas!$C$5*INDEX(Probabilitas!$E$10:$E$11,MATCH(D293,Probabilitas!$A$10:$A$11,0))*INDEX(Probabilitas!$E$16:$E$22,MATCH(E293,Probabilitas!$A$16:$A$22,0))*INDEX(Probabilitas!$E$27:$E$28,MATCH(F293,Probabilitas!$A$27:$A$28,0))</x:f>
        <x:v>0.013821277039070988</x:v>
      </x:c>
      <x:c r="J293" s="26" t="n">
        <x:f>IFERROR(H293/(H293+I293),0)</x:f>
        <x:v>0.0003022290143570409</x:v>
      </x:c>
      <x:c r="K293" s="26" t="n">
        <x:f>IFERROR(I293/(H293+I293),0)</x:f>
        <x:v>0.9996977709856429</x:v>
      </x:c>
      <x:c r="L293" s="24" t="str">
        <x:f>IF(J293&gt;=K293,"Minat","Tidak minat")</x:f>
        <x:v>Tidak minat</x:v>
      </x:c>
      <x:c r="M293" s="24" t="str">
        <x:f>IF(L293=G293,"Sesuai label latih","Berbeda dari label latih")</x:f>
        <x:v>Sesuai label latih</x:v>
      </x:c>
    </x:row>
    <x:row r="294">
      <x:c r="A294" s="24" t="n">
        <x:v>293</x:v>
      </x:c>
      <x:c r="B294" s="24" t="str">
        <x:v>TSM1-P-007</x:v>
      </x:c>
      <x:c r="C294" s="24" t="str">
        <x:v>Siswa TSM1 P-007</x:v>
      </x:c>
      <x:c r="D294" s="24" t="str">
        <x:v>TSM / Teknik Sepeda Motor</x:v>
      </x:c>
      <x:c r="E294" s="24" t="str">
        <x:v>TSM 1</x:v>
      </x:c>
      <x:c r="F294" s="24" t="str">
        <x:v>Perempuan</x:v>
      </x:c>
      <x:c r="G294" s="24" t="str">
        <x:v>Tidak minat</x:v>
      </x:c>
      <x:c r="H294" s="26" t="n">
        <x:f>Probabilitas!$C$4*INDEX(Probabilitas!$C$10:$C$11,MATCH(D294,Probabilitas!$A$10:$A$11,0))*INDEX(Probabilitas!$C$16:$C$22,MATCH(E294,Probabilitas!$A$16:$A$22,0))*INDEX(Probabilitas!$C$27:$C$28,MATCH(F294,Probabilitas!$A$27:$A$28,0))</x:f>
        <x:v>0.000004178453786643499</x:v>
      </x:c>
      <x:c r="I294" s="26" t="n">
        <x:f>Probabilitas!$C$5*INDEX(Probabilitas!$E$10:$E$11,MATCH(D294,Probabilitas!$A$10:$A$11,0))*INDEX(Probabilitas!$E$16:$E$22,MATCH(E294,Probabilitas!$A$16:$A$22,0))*INDEX(Probabilitas!$E$27:$E$28,MATCH(F294,Probabilitas!$A$27:$A$28,0))</x:f>
        <x:v>0.013821277039070988</x:v>
      </x:c>
      <x:c r="J294" s="26" t="n">
        <x:f>IFERROR(H294/(H294+I294),0)</x:f>
        <x:v>0.0003022290143570409</x:v>
      </x:c>
      <x:c r="K294" s="26" t="n">
        <x:f>IFERROR(I294/(H294+I294),0)</x:f>
        <x:v>0.9996977709856429</x:v>
      </x:c>
      <x:c r="L294" s="24" t="str">
        <x:f>IF(J294&gt;=K294,"Minat","Tidak minat")</x:f>
        <x:v>Tidak minat</x:v>
      </x:c>
      <x:c r="M294" s="24" t="str">
        <x:f>IF(L294=G294,"Sesuai label latih","Berbeda dari label latih")</x:f>
        <x:v>Sesuai label latih</x:v>
      </x:c>
    </x:row>
    <x:row r="295">
      <x:c r="A295" s="24" t="n">
        <x:v>294</x:v>
      </x:c>
      <x:c r="B295" s="24" t="str">
        <x:v>TSM1-P-008</x:v>
      </x:c>
      <x:c r="C295" s="24" t="str">
        <x:v>Siswa TSM1 P-008</x:v>
      </x:c>
      <x:c r="D295" s="24" t="str">
        <x:v>TSM / Teknik Sepeda Motor</x:v>
      </x:c>
      <x:c r="E295" s="24" t="str">
        <x:v>TSM 1</x:v>
      </x:c>
      <x:c r="F295" s="24" t="str">
        <x:v>Perempuan</x:v>
      </x:c>
      <x:c r="G295" s="24" t="str">
        <x:v>Tidak minat</x:v>
      </x:c>
      <x:c r="H295" s="26" t="n">
        <x:f>Probabilitas!$C$4*INDEX(Probabilitas!$C$10:$C$11,MATCH(D295,Probabilitas!$A$10:$A$11,0))*INDEX(Probabilitas!$C$16:$C$22,MATCH(E295,Probabilitas!$A$16:$A$22,0))*INDEX(Probabilitas!$C$27:$C$28,MATCH(F295,Probabilitas!$A$27:$A$28,0))</x:f>
        <x:v>0.000004178453786643499</x:v>
      </x:c>
      <x:c r="I295" s="26" t="n">
        <x:f>Probabilitas!$C$5*INDEX(Probabilitas!$E$10:$E$11,MATCH(D295,Probabilitas!$A$10:$A$11,0))*INDEX(Probabilitas!$E$16:$E$22,MATCH(E295,Probabilitas!$A$16:$A$22,0))*INDEX(Probabilitas!$E$27:$E$28,MATCH(F295,Probabilitas!$A$27:$A$28,0))</x:f>
        <x:v>0.013821277039070988</x:v>
      </x:c>
      <x:c r="J295" s="26" t="n">
        <x:f>IFERROR(H295/(H295+I295),0)</x:f>
        <x:v>0.0003022290143570409</x:v>
      </x:c>
      <x:c r="K295" s="26" t="n">
        <x:f>IFERROR(I295/(H295+I295),0)</x:f>
        <x:v>0.9996977709856429</x:v>
      </x:c>
      <x:c r="L295" s="24" t="str">
        <x:f>IF(J295&gt;=K295,"Minat","Tidak minat")</x:f>
        <x:v>Tidak minat</x:v>
      </x:c>
      <x:c r="M295" s="24" t="str">
        <x:f>IF(L295=G295,"Sesuai label latih","Berbeda dari label latih")</x:f>
        <x:v>Sesuai label latih</x:v>
      </x:c>
    </x:row>
    <x:row r="296">
      <x:c r="A296" s="24" t="n">
        <x:v>295</x:v>
      </x:c>
      <x:c r="B296" s="24" t="str">
        <x:v>TSM1-P-009</x:v>
      </x:c>
      <x:c r="C296" s="24" t="str">
        <x:v>Siswa TSM1 P-009</x:v>
      </x:c>
      <x:c r="D296" s="24" t="str">
        <x:v>TSM / Teknik Sepeda Motor</x:v>
      </x:c>
      <x:c r="E296" s="24" t="str">
        <x:v>TSM 1</x:v>
      </x:c>
      <x:c r="F296" s="24" t="str">
        <x:v>Perempuan</x:v>
      </x:c>
      <x:c r="G296" s="24" t="str">
        <x:v>Tidak minat</x:v>
      </x:c>
      <x:c r="H296" s="26" t="n">
        <x:f>Probabilitas!$C$4*INDEX(Probabilitas!$C$10:$C$11,MATCH(D296,Probabilitas!$A$10:$A$11,0))*INDEX(Probabilitas!$C$16:$C$22,MATCH(E296,Probabilitas!$A$16:$A$22,0))*INDEX(Probabilitas!$C$27:$C$28,MATCH(F296,Probabilitas!$A$27:$A$28,0))</x:f>
        <x:v>0.000004178453786643499</x:v>
      </x:c>
      <x:c r="I296" s="26" t="n">
        <x:f>Probabilitas!$C$5*INDEX(Probabilitas!$E$10:$E$11,MATCH(D296,Probabilitas!$A$10:$A$11,0))*INDEX(Probabilitas!$E$16:$E$22,MATCH(E296,Probabilitas!$A$16:$A$22,0))*INDEX(Probabilitas!$E$27:$E$28,MATCH(F296,Probabilitas!$A$27:$A$28,0))</x:f>
        <x:v>0.013821277039070988</x:v>
      </x:c>
      <x:c r="J296" s="26" t="n">
        <x:f>IFERROR(H296/(H296+I296),0)</x:f>
        <x:v>0.0003022290143570409</x:v>
      </x:c>
      <x:c r="K296" s="26" t="n">
        <x:f>IFERROR(I296/(H296+I296),0)</x:f>
        <x:v>0.9996977709856429</x:v>
      </x:c>
      <x:c r="L296" s="24" t="str">
        <x:f>IF(J296&gt;=K296,"Minat","Tidak minat")</x:f>
        <x:v>Tidak minat</x:v>
      </x:c>
      <x:c r="M296" s="24" t="str">
        <x:f>IF(L296=G296,"Sesuai label latih","Berbeda dari label latih")</x:f>
        <x:v>Sesuai label latih</x:v>
      </x:c>
    </x:row>
    <x:row r="297">
      <x:c r="A297" s="24" t="n">
        <x:v>296</x:v>
      </x:c>
      <x:c r="B297" s="24" t="str">
        <x:v>TSM2-L-001</x:v>
      </x:c>
      <x:c r="C297" s="24" t="str">
        <x:v>Siswa TSM2 L-001</x:v>
      </x:c>
      <x:c r="D297" s="24" t="str">
        <x:v>TSM / Teknik Sepeda Motor</x:v>
      </x:c>
      <x:c r="E297" s="24" t="str">
        <x:v>TSM 2</x:v>
      </x:c>
      <x:c r="F297" s="24" t="str">
        <x:v>Laki-laki</x:v>
      </x:c>
      <x:c r="G297" s="24" t="str">
        <x:v>Tidak minat</x:v>
      </x:c>
      <x:c r="H297" s="26" t="n">
        <x:f>Probabilitas!$C$4*INDEX(Probabilitas!$C$10:$C$11,MATCH(D297,Probabilitas!$A$10:$A$11,0))*INDEX(Probabilitas!$C$16:$C$22,MATCH(E297,Probabilitas!$A$16:$A$22,0))*INDEX(Probabilitas!$C$27:$C$28,MATCH(F297,Probabilitas!$A$27:$A$28,0))</x:f>
        <x:v>0.0000043025662753556825</x:v>
      </x:c>
      <x:c r="I297" s="26" t="n">
        <x:f>Probabilitas!$C$5*INDEX(Probabilitas!$E$10:$E$11,MATCH(D297,Probabilitas!$A$10:$A$11,0))*INDEX(Probabilitas!$E$16:$E$22,MATCH(E297,Probabilitas!$A$16:$A$22,0))*INDEX(Probabilitas!$E$27:$E$28,MATCH(F297,Probabilitas!$A$27:$A$28,0))</x:f>
        <x:v>0.14651049047689044</x:v>
      </x:c>
      <x:c r="J297" s="26" t="n">
        <x:f>IFERROR(H297/(H297+I297),0)</x:f>
        <x:v>0.000029366087792159474</x:v>
      </x:c>
      <x:c r="K297" s="26" t="n">
        <x:f>IFERROR(I297/(H297+I297),0)</x:f>
        <x:v>0.999970633912208</x:v>
      </x:c>
      <x:c r="L297" s="24" t="str">
        <x:f>IF(J297&gt;=K297,"Minat","Tidak minat")</x:f>
        <x:v>Tidak minat</x:v>
      </x:c>
      <x:c r="M297" s="24" t="str">
        <x:f>IF(L297=G297,"Sesuai label latih","Berbeda dari label latih")</x:f>
        <x:v>Sesuai label latih</x:v>
      </x:c>
    </x:row>
    <x:row r="298">
      <x:c r="A298" s="24" t="n">
        <x:v>297</x:v>
      </x:c>
      <x:c r="B298" s="24" t="str">
        <x:v>TSM2-L-002</x:v>
      </x:c>
      <x:c r="C298" s="24" t="str">
        <x:v>Siswa TSM2 L-002</x:v>
      </x:c>
      <x:c r="D298" s="24" t="str">
        <x:v>TSM / Teknik Sepeda Motor</x:v>
      </x:c>
      <x:c r="E298" s="24" t="str">
        <x:v>TSM 2</x:v>
      </x:c>
      <x:c r="F298" s="24" t="str">
        <x:v>Laki-laki</x:v>
      </x:c>
      <x:c r="G298" s="24" t="str">
        <x:v>Tidak minat</x:v>
      </x:c>
      <x:c r="H298" s="26" t="n">
        <x:f>Probabilitas!$C$4*INDEX(Probabilitas!$C$10:$C$11,MATCH(D298,Probabilitas!$A$10:$A$11,0))*INDEX(Probabilitas!$C$16:$C$22,MATCH(E298,Probabilitas!$A$16:$A$22,0))*INDEX(Probabilitas!$C$27:$C$28,MATCH(F298,Probabilitas!$A$27:$A$28,0))</x:f>
        <x:v>0.0000043025662753556825</x:v>
      </x:c>
      <x:c r="I298" s="26" t="n">
        <x:f>Probabilitas!$C$5*INDEX(Probabilitas!$E$10:$E$11,MATCH(D298,Probabilitas!$A$10:$A$11,0))*INDEX(Probabilitas!$E$16:$E$22,MATCH(E298,Probabilitas!$A$16:$A$22,0))*INDEX(Probabilitas!$E$27:$E$28,MATCH(F298,Probabilitas!$A$27:$A$28,0))</x:f>
        <x:v>0.14651049047689044</x:v>
      </x:c>
      <x:c r="J298" s="26" t="n">
        <x:f>IFERROR(H298/(H298+I298),0)</x:f>
        <x:v>0.000029366087792159474</x:v>
      </x:c>
      <x:c r="K298" s="26" t="n">
        <x:f>IFERROR(I298/(H298+I298),0)</x:f>
        <x:v>0.999970633912208</x:v>
      </x:c>
      <x:c r="L298" s="24" t="str">
        <x:f>IF(J298&gt;=K298,"Minat","Tidak minat")</x:f>
        <x:v>Tidak minat</x:v>
      </x:c>
      <x:c r="M298" s="24" t="str">
        <x:f>IF(L298=G298,"Sesuai label latih","Berbeda dari label latih")</x:f>
        <x:v>Sesuai label latih</x:v>
      </x:c>
    </x:row>
    <x:row r="299">
      <x:c r="A299" s="24" t="n">
        <x:v>298</x:v>
      </x:c>
      <x:c r="B299" s="24" t="str">
        <x:v>TSM2-L-003</x:v>
      </x:c>
      <x:c r="C299" s="24" t="str">
        <x:v>Siswa TSM2 L-003</x:v>
      </x:c>
      <x:c r="D299" s="24" t="str">
        <x:v>TSM / Teknik Sepeda Motor</x:v>
      </x:c>
      <x:c r="E299" s="24" t="str">
        <x:v>TSM 2</x:v>
      </x:c>
      <x:c r="F299" s="24" t="str">
        <x:v>Laki-laki</x:v>
      </x:c>
      <x:c r="G299" s="24" t="str">
        <x:v>Tidak minat</x:v>
      </x:c>
      <x:c r="H299" s="26" t="n">
        <x:f>Probabilitas!$C$4*INDEX(Probabilitas!$C$10:$C$11,MATCH(D299,Probabilitas!$A$10:$A$11,0))*INDEX(Probabilitas!$C$16:$C$22,MATCH(E299,Probabilitas!$A$16:$A$22,0))*INDEX(Probabilitas!$C$27:$C$28,MATCH(F299,Probabilitas!$A$27:$A$28,0))</x:f>
        <x:v>0.0000043025662753556825</x:v>
      </x:c>
      <x:c r="I299" s="26" t="n">
        <x:f>Probabilitas!$C$5*INDEX(Probabilitas!$E$10:$E$11,MATCH(D299,Probabilitas!$A$10:$A$11,0))*INDEX(Probabilitas!$E$16:$E$22,MATCH(E299,Probabilitas!$A$16:$A$22,0))*INDEX(Probabilitas!$E$27:$E$28,MATCH(F299,Probabilitas!$A$27:$A$28,0))</x:f>
        <x:v>0.14651049047689044</x:v>
      </x:c>
      <x:c r="J299" s="26" t="n">
        <x:f>IFERROR(H299/(H299+I299),0)</x:f>
        <x:v>0.000029366087792159474</x:v>
      </x:c>
      <x:c r="K299" s="26" t="n">
        <x:f>IFERROR(I299/(H299+I299),0)</x:f>
        <x:v>0.999970633912208</x:v>
      </x:c>
      <x:c r="L299" s="24" t="str">
        <x:f>IF(J299&gt;=K299,"Minat","Tidak minat")</x:f>
        <x:v>Tidak minat</x:v>
      </x:c>
      <x:c r="M299" s="24" t="str">
        <x:f>IF(L299=G299,"Sesuai label latih","Berbeda dari label latih")</x:f>
        <x:v>Sesuai label latih</x:v>
      </x:c>
    </x:row>
    <x:row r="300">
      <x:c r="A300" s="24" t="n">
        <x:v>299</x:v>
      </x:c>
      <x:c r="B300" s="24" t="str">
        <x:v>TSM2-L-004</x:v>
      </x:c>
      <x:c r="C300" s="24" t="str">
        <x:v>Siswa TSM2 L-004</x:v>
      </x:c>
      <x:c r="D300" s="24" t="str">
        <x:v>TSM / Teknik Sepeda Motor</x:v>
      </x:c>
      <x:c r="E300" s="24" t="str">
        <x:v>TSM 2</x:v>
      </x:c>
      <x:c r="F300" s="24" t="str">
        <x:v>Laki-laki</x:v>
      </x:c>
      <x:c r="G300" s="24" t="str">
        <x:v>Tidak minat</x:v>
      </x:c>
      <x:c r="H300" s="26" t="n">
        <x:f>Probabilitas!$C$4*INDEX(Probabilitas!$C$10:$C$11,MATCH(D300,Probabilitas!$A$10:$A$11,0))*INDEX(Probabilitas!$C$16:$C$22,MATCH(E300,Probabilitas!$A$16:$A$22,0))*INDEX(Probabilitas!$C$27:$C$28,MATCH(F300,Probabilitas!$A$27:$A$28,0))</x:f>
        <x:v>0.0000043025662753556825</x:v>
      </x:c>
      <x:c r="I300" s="26" t="n">
        <x:f>Probabilitas!$C$5*INDEX(Probabilitas!$E$10:$E$11,MATCH(D300,Probabilitas!$A$10:$A$11,0))*INDEX(Probabilitas!$E$16:$E$22,MATCH(E300,Probabilitas!$A$16:$A$22,0))*INDEX(Probabilitas!$E$27:$E$28,MATCH(F300,Probabilitas!$A$27:$A$28,0))</x:f>
        <x:v>0.14651049047689044</x:v>
      </x:c>
      <x:c r="J300" s="26" t="n">
        <x:f>IFERROR(H300/(H300+I300),0)</x:f>
        <x:v>0.000029366087792159474</x:v>
      </x:c>
      <x:c r="K300" s="26" t="n">
        <x:f>IFERROR(I300/(H300+I300),0)</x:f>
        <x:v>0.999970633912208</x:v>
      </x:c>
      <x:c r="L300" s="24" t="str">
        <x:f>IF(J300&gt;=K300,"Minat","Tidak minat")</x:f>
        <x:v>Tidak minat</x:v>
      </x:c>
      <x:c r="M300" s="24" t="str">
        <x:f>IF(L300=G300,"Sesuai label latih","Berbeda dari label latih")</x:f>
        <x:v>Sesuai label latih</x:v>
      </x:c>
    </x:row>
    <x:row r="301">
      <x:c r="A301" s="24" t="n">
        <x:v>300</x:v>
      </x:c>
      <x:c r="B301" s="24" t="str">
        <x:v>TSM2-L-005</x:v>
      </x:c>
      <x:c r="C301" s="24" t="str">
        <x:v>Siswa TSM2 L-005</x:v>
      </x:c>
      <x:c r="D301" s="24" t="str">
        <x:v>TSM / Teknik Sepeda Motor</x:v>
      </x:c>
      <x:c r="E301" s="24" t="str">
        <x:v>TSM 2</x:v>
      </x:c>
      <x:c r="F301" s="24" t="str">
        <x:v>Laki-laki</x:v>
      </x:c>
      <x:c r="G301" s="24" t="str">
        <x:v>Tidak minat</x:v>
      </x:c>
      <x:c r="H301" s="26" t="n">
        <x:f>Probabilitas!$C$4*INDEX(Probabilitas!$C$10:$C$11,MATCH(D301,Probabilitas!$A$10:$A$11,0))*INDEX(Probabilitas!$C$16:$C$22,MATCH(E301,Probabilitas!$A$16:$A$22,0))*INDEX(Probabilitas!$C$27:$C$28,MATCH(F301,Probabilitas!$A$27:$A$28,0))</x:f>
        <x:v>0.0000043025662753556825</x:v>
      </x:c>
      <x:c r="I301" s="26" t="n">
        <x:f>Probabilitas!$C$5*INDEX(Probabilitas!$E$10:$E$11,MATCH(D301,Probabilitas!$A$10:$A$11,0))*INDEX(Probabilitas!$E$16:$E$22,MATCH(E301,Probabilitas!$A$16:$A$22,0))*INDEX(Probabilitas!$E$27:$E$28,MATCH(F301,Probabilitas!$A$27:$A$28,0))</x:f>
        <x:v>0.14651049047689044</x:v>
      </x:c>
      <x:c r="J301" s="26" t="n">
        <x:f>IFERROR(H301/(H301+I301),0)</x:f>
        <x:v>0.000029366087792159474</x:v>
      </x:c>
      <x:c r="K301" s="26" t="n">
        <x:f>IFERROR(I301/(H301+I301),0)</x:f>
        <x:v>0.999970633912208</x:v>
      </x:c>
      <x:c r="L301" s="24" t="str">
        <x:f>IF(J301&gt;=K301,"Minat","Tidak minat")</x:f>
        <x:v>Tidak minat</x:v>
      </x:c>
      <x:c r="M301" s="24" t="str">
        <x:f>IF(L301=G301,"Sesuai label latih","Berbeda dari label latih")</x:f>
        <x:v>Sesuai label latih</x:v>
      </x:c>
    </x:row>
    <x:row r="302">
      <x:c r="A302" s="24" t="n">
        <x:v>301</x:v>
      </x:c>
      <x:c r="B302" s="24" t="str">
        <x:v>TSM2-L-006</x:v>
      </x:c>
      <x:c r="C302" s="24" t="str">
        <x:v>Siswa TSM2 L-006</x:v>
      </x:c>
      <x:c r="D302" s="24" t="str">
        <x:v>TSM / Teknik Sepeda Motor</x:v>
      </x:c>
      <x:c r="E302" s="24" t="str">
        <x:v>TSM 2</x:v>
      </x:c>
      <x:c r="F302" s="24" t="str">
        <x:v>Laki-laki</x:v>
      </x:c>
      <x:c r="G302" s="24" t="str">
        <x:v>Tidak minat</x:v>
      </x:c>
      <x:c r="H302" s="26" t="n">
        <x:f>Probabilitas!$C$4*INDEX(Probabilitas!$C$10:$C$11,MATCH(D302,Probabilitas!$A$10:$A$11,0))*INDEX(Probabilitas!$C$16:$C$22,MATCH(E302,Probabilitas!$A$16:$A$22,0))*INDEX(Probabilitas!$C$27:$C$28,MATCH(F302,Probabilitas!$A$27:$A$28,0))</x:f>
        <x:v>0.0000043025662753556825</x:v>
      </x:c>
      <x:c r="I302" s="26" t="n">
        <x:f>Probabilitas!$C$5*INDEX(Probabilitas!$E$10:$E$11,MATCH(D302,Probabilitas!$A$10:$A$11,0))*INDEX(Probabilitas!$E$16:$E$22,MATCH(E302,Probabilitas!$A$16:$A$22,0))*INDEX(Probabilitas!$E$27:$E$28,MATCH(F302,Probabilitas!$A$27:$A$28,0))</x:f>
        <x:v>0.14651049047689044</x:v>
      </x:c>
      <x:c r="J302" s="26" t="n">
        <x:f>IFERROR(H302/(H302+I302),0)</x:f>
        <x:v>0.000029366087792159474</x:v>
      </x:c>
      <x:c r="K302" s="26" t="n">
        <x:f>IFERROR(I302/(H302+I302),0)</x:f>
        <x:v>0.999970633912208</x:v>
      </x:c>
      <x:c r="L302" s="24" t="str">
        <x:f>IF(J302&gt;=K302,"Minat","Tidak minat")</x:f>
        <x:v>Tidak minat</x:v>
      </x:c>
      <x:c r="M302" s="24" t="str">
        <x:f>IF(L302=G302,"Sesuai label latih","Berbeda dari label latih")</x:f>
        <x:v>Sesuai label latih</x:v>
      </x:c>
    </x:row>
    <x:row r="303">
      <x:c r="A303" s="24" t="n">
        <x:v>302</x:v>
      </x:c>
      <x:c r="B303" s="24" t="str">
        <x:v>TSM2-L-007</x:v>
      </x:c>
      <x:c r="C303" s="24" t="str">
        <x:v>Siswa TSM2 L-007</x:v>
      </x:c>
      <x:c r="D303" s="24" t="str">
        <x:v>TSM / Teknik Sepeda Motor</x:v>
      </x:c>
      <x:c r="E303" s="24" t="str">
        <x:v>TSM 2</x:v>
      </x:c>
      <x:c r="F303" s="24" t="str">
        <x:v>Laki-laki</x:v>
      </x:c>
      <x:c r="G303" s="24" t="str">
        <x:v>Tidak minat</x:v>
      </x:c>
      <x:c r="H303" s="26" t="n">
        <x:f>Probabilitas!$C$4*INDEX(Probabilitas!$C$10:$C$11,MATCH(D303,Probabilitas!$A$10:$A$11,0))*INDEX(Probabilitas!$C$16:$C$22,MATCH(E303,Probabilitas!$A$16:$A$22,0))*INDEX(Probabilitas!$C$27:$C$28,MATCH(F303,Probabilitas!$A$27:$A$28,0))</x:f>
        <x:v>0.0000043025662753556825</x:v>
      </x:c>
      <x:c r="I303" s="26" t="n">
        <x:f>Probabilitas!$C$5*INDEX(Probabilitas!$E$10:$E$11,MATCH(D303,Probabilitas!$A$10:$A$11,0))*INDEX(Probabilitas!$E$16:$E$22,MATCH(E303,Probabilitas!$A$16:$A$22,0))*INDEX(Probabilitas!$E$27:$E$28,MATCH(F303,Probabilitas!$A$27:$A$28,0))</x:f>
        <x:v>0.14651049047689044</x:v>
      </x:c>
      <x:c r="J303" s="26" t="n">
        <x:f>IFERROR(H303/(H303+I303),0)</x:f>
        <x:v>0.000029366087792159474</x:v>
      </x:c>
      <x:c r="K303" s="26" t="n">
        <x:f>IFERROR(I303/(H303+I303),0)</x:f>
        <x:v>0.999970633912208</x:v>
      </x:c>
      <x:c r="L303" s="24" t="str">
        <x:f>IF(J303&gt;=K303,"Minat","Tidak minat")</x:f>
        <x:v>Tidak minat</x:v>
      </x:c>
      <x:c r="M303" s="24" t="str">
        <x:f>IF(L303=G303,"Sesuai label latih","Berbeda dari label latih")</x:f>
        <x:v>Sesuai label latih</x:v>
      </x:c>
    </x:row>
    <x:row r="304">
      <x:c r="A304" s="24" t="n">
        <x:v>303</x:v>
      </x:c>
      <x:c r="B304" s="24" t="str">
        <x:v>TSM2-L-008</x:v>
      </x:c>
      <x:c r="C304" s="24" t="str">
        <x:v>Siswa TSM2 L-008</x:v>
      </x:c>
      <x:c r="D304" s="24" t="str">
        <x:v>TSM / Teknik Sepeda Motor</x:v>
      </x:c>
      <x:c r="E304" s="24" t="str">
        <x:v>TSM 2</x:v>
      </x:c>
      <x:c r="F304" s="24" t="str">
        <x:v>Laki-laki</x:v>
      </x:c>
      <x:c r="G304" s="24" t="str">
        <x:v>Tidak minat</x:v>
      </x:c>
      <x:c r="H304" s="26" t="n">
        <x:f>Probabilitas!$C$4*INDEX(Probabilitas!$C$10:$C$11,MATCH(D304,Probabilitas!$A$10:$A$11,0))*INDEX(Probabilitas!$C$16:$C$22,MATCH(E304,Probabilitas!$A$16:$A$22,0))*INDEX(Probabilitas!$C$27:$C$28,MATCH(F304,Probabilitas!$A$27:$A$28,0))</x:f>
        <x:v>0.0000043025662753556825</x:v>
      </x:c>
      <x:c r="I304" s="26" t="n">
        <x:f>Probabilitas!$C$5*INDEX(Probabilitas!$E$10:$E$11,MATCH(D304,Probabilitas!$A$10:$A$11,0))*INDEX(Probabilitas!$E$16:$E$22,MATCH(E304,Probabilitas!$A$16:$A$22,0))*INDEX(Probabilitas!$E$27:$E$28,MATCH(F304,Probabilitas!$A$27:$A$28,0))</x:f>
        <x:v>0.14651049047689044</x:v>
      </x:c>
      <x:c r="J304" s="26" t="n">
        <x:f>IFERROR(H304/(H304+I304),0)</x:f>
        <x:v>0.000029366087792159474</x:v>
      </x:c>
      <x:c r="K304" s="26" t="n">
        <x:f>IFERROR(I304/(H304+I304),0)</x:f>
        <x:v>0.999970633912208</x:v>
      </x:c>
      <x:c r="L304" s="24" t="str">
        <x:f>IF(J304&gt;=K304,"Minat","Tidak minat")</x:f>
        <x:v>Tidak minat</x:v>
      </x:c>
      <x:c r="M304" s="24" t="str">
        <x:f>IF(L304=G304,"Sesuai label latih","Berbeda dari label latih")</x:f>
        <x:v>Sesuai label latih</x:v>
      </x:c>
    </x:row>
    <x:row r="305">
      <x:c r="A305" s="24" t="n">
        <x:v>304</x:v>
      </x:c>
      <x:c r="B305" s="24" t="str">
        <x:v>TSM2-L-009</x:v>
      </x:c>
      <x:c r="C305" s="24" t="str">
        <x:v>Siswa TSM2 L-009</x:v>
      </x:c>
      <x:c r="D305" s="24" t="str">
        <x:v>TSM / Teknik Sepeda Motor</x:v>
      </x:c>
      <x:c r="E305" s="24" t="str">
        <x:v>TSM 2</x:v>
      </x:c>
      <x:c r="F305" s="24" t="str">
        <x:v>Laki-laki</x:v>
      </x:c>
      <x:c r="G305" s="24" t="str">
        <x:v>Tidak minat</x:v>
      </x:c>
      <x:c r="H305" s="26" t="n">
        <x:f>Probabilitas!$C$4*INDEX(Probabilitas!$C$10:$C$11,MATCH(D305,Probabilitas!$A$10:$A$11,0))*INDEX(Probabilitas!$C$16:$C$22,MATCH(E305,Probabilitas!$A$16:$A$22,0))*INDEX(Probabilitas!$C$27:$C$28,MATCH(F305,Probabilitas!$A$27:$A$28,0))</x:f>
        <x:v>0.0000043025662753556825</x:v>
      </x:c>
      <x:c r="I305" s="26" t="n">
        <x:f>Probabilitas!$C$5*INDEX(Probabilitas!$E$10:$E$11,MATCH(D305,Probabilitas!$A$10:$A$11,0))*INDEX(Probabilitas!$E$16:$E$22,MATCH(E305,Probabilitas!$A$16:$A$22,0))*INDEX(Probabilitas!$E$27:$E$28,MATCH(F305,Probabilitas!$A$27:$A$28,0))</x:f>
        <x:v>0.14651049047689044</x:v>
      </x:c>
      <x:c r="J305" s="26" t="n">
        <x:f>IFERROR(H305/(H305+I305),0)</x:f>
        <x:v>0.000029366087792159474</x:v>
      </x:c>
      <x:c r="K305" s="26" t="n">
        <x:f>IFERROR(I305/(H305+I305),0)</x:f>
        <x:v>0.999970633912208</x:v>
      </x:c>
      <x:c r="L305" s="24" t="str">
        <x:f>IF(J305&gt;=K305,"Minat","Tidak minat")</x:f>
        <x:v>Tidak minat</x:v>
      </x:c>
      <x:c r="M305" s="24" t="str">
        <x:f>IF(L305=G305,"Sesuai label latih","Berbeda dari label latih")</x:f>
        <x:v>Sesuai label latih</x:v>
      </x:c>
    </x:row>
    <x:row r="306">
      <x:c r="A306" s="24" t="n">
        <x:v>305</x:v>
      </x:c>
      <x:c r="B306" s="24" t="str">
        <x:v>TSM2-L-010</x:v>
      </x:c>
      <x:c r="C306" s="24" t="str">
        <x:v>Siswa TSM2 L-010</x:v>
      </x:c>
      <x:c r="D306" s="24" t="str">
        <x:v>TSM / Teknik Sepeda Motor</x:v>
      </x:c>
      <x:c r="E306" s="24" t="str">
        <x:v>TSM 2</x:v>
      </x:c>
      <x:c r="F306" s="24" t="str">
        <x:v>Laki-laki</x:v>
      </x:c>
      <x:c r="G306" s="24" t="str">
        <x:v>Tidak minat</x:v>
      </x:c>
      <x:c r="H306" s="26" t="n">
        <x:f>Probabilitas!$C$4*INDEX(Probabilitas!$C$10:$C$11,MATCH(D306,Probabilitas!$A$10:$A$11,0))*INDEX(Probabilitas!$C$16:$C$22,MATCH(E306,Probabilitas!$A$16:$A$22,0))*INDEX(Probabilitas!$C$27:$C$28,MATCH(F306,Probabilitas!$A$27:$A$28,0))</x:f>
        <x:v>0.0000043025662753556825</x:v>
      </x:c>
      <x:c r="I306" s="26" t="n">
        <x:f>Probabilitas!$C$5*INDEX(Probabilitas!$E$10:$E$11,MATCH(D306,Probabilitas!$A$10:$A$11,0))*INDEX(Probabilitas!$E$16:$E$22,MATCH(E306,Probabilitas!$A$16:$A$22,0))*INDEX(Probabilitas!$E$27:$E$28,MATCH(F306,Probabilitas!$A$27:$A$28,0))</x:f>
        <x:v>0.14651049047689044</x:v>
      </x:c>
      <x:c r="J306" s="26" t="n">
        <x:f>IFERROR(H306/(H306+I306),0)</x:f>
        <x:v>0.000029366087792159474</x:v>
      </x:c>
      <x:c r="K306" s="26" t="n">
        <x:f>IFERROR(I306/(H306+I306),0)</x:f>
        <x:v>0.999970633912208</x:v>
      </x:c>
      <x:c r="L306" s="24" t="str">
        <x:f>IF(J306&gt;=K306,"Minat","Tidak minat")</x:f>
        <x:v>Tidak minat</x:v>
      </x:c>
      <x:c r="M306" s="24" t="str">
        <x:f>IF(L306=G306,"Sesuai label latih","Berbeda dari label latih")</x:f>
        <x:v>Sesuai label latih</x:v>
      </x:c>
    </x:row>
    <x:row r="307">
      <x:c r="A307" s="24" t="n">
        <x:v>306</x:v>
      </x:c>
      <x:c r="B307" s="24" t="str">
        <x:v>TSM2-L-011</x:v>
      </x:c>
      <x:c r="C307" s="24" t="str">
        <x:v>Siswa TSM2 L-011</x:v>
      </x:c>
      <x:c r="D307" s="24" t="str">
        <x:v>TSM / Teknik Sepeda Motor</x:v>
      </x:c>
      <x:c r="E307" s="24" t="str">
        <x:v>TSM 2</x:v>
      </x:c>
      <x:c r="F307" s="24" t="str">
        <x:v>Laki-laki</x:v>
      </x:c>
      <x:c r="G307" s="24" t="str">
        <x:v>Tidak minat</x:v>
      </x:c>
      <x:c r="H307" s="26" t="n">
        <x:f>Probabilitas!$C$4*INDEX(Probabilitas!$C$10:$C$11,MATCH(D307,Probabilitas!$A$10:$A$11,0))*INDEX(Probabilitas!$C$16:$C$22,MATCH(E307,Probabilitas!$A$16:$A$22,0))*INDEX(Probabilitas!$C$27:$C$28,MATCH(F307,Probabilitas!$A$27:$A$28,0))</x:f>
        <x:v>0.0000043025662753556825</x:v>
      </x:c>
      <x:c r="I307" s="26" t="n">
        <x:f>Probabilitas!$C$5*INDEX(Probabilitas!$E$10:$E$11,MATCH(D307,Probabilitas!$A$10:$A$11,0))*INDEX(Probabilitas!$E$16:$E$22,MATCH(E307,Probabilitas!$A$16:$A$22,0))*INDEX(Probabilitas!$E$27:$E$28,MATCH(F307,Probabilitas!$A$27:$A$28,0))</x:f>
        <x:v>0.14651049047689044</x:v>
      </x:c>
      <x:c r="J307" s="26" t="n">
        <x:f>IFERROR(H307/(H307+I307),0)</x:f>
        <x:v>0.000029366087792159474</x:v>
      </x:c>
      <x:c r="K307" s="26" t="n">
        <x:f>IFERROR(I307/(H307+I307),0)</x:f>
        <x:v>0.999970633912208</x:v>
      </x:c>
      <x:c r="L307" s="24" t="str">
        <x:f>IF(J307&gt;=K307,"Minat","Tidak minat")</x:f>
        <x:v>Tidak minat</x:v>
      </x:c>
      <x:c r="M307" s="24" t="str">
        <x:f>IF(L307=G307,"Sesuai label latih","Berbeda dari label latih")</x:f>
        <x:v>Sesuai label latih</x:v>
      </x:c>
    </x:row>
    <x:row r="308">
      <x:c r="A308" s="24" t="n">
        <x:v>307</x:v>
      </x:c>
      <x:c r="B308" s="24" t="str">
        <x:v>TSM2-L-012</x:v>
      </x:c>
      <x:c r="C308" s="24" t="str">
        <x:v>Siswa TSM2 L-012</x:v>
      </x:c>
      <x:c r="D308" s="24" t="str">
        <x:v>TSM / Teknik Sepeda Motor</x:v>
      </x:c>
      <x:c r="E308" s="24" t="str">
        <x:v>TSM 2</x:v>
      </x:c>
      <x:c r="F308" s="24" t="str">
        <x:v>Laki-laki</x:v>
      </x:c>
      <x:c r="G308" s="24" t="str">
        <x:v>Tidak minat</x:v>
      </x:c>
      <x:c r="H308" s="26" t="n">
        <x:f>Probabilitas!$C$4*INDEX(Probabilitas!$C$10:$C$11,MATCH(D308,Probabilitas!$A$10:$A$11,0))*INDEX(Probabilitas!$C$16:$C$22,MATCH(E308,Probabilitas!$A$16:$A$22,0))*INDEX(Probabilitas!$C$27:$C$28,MATCH(F308,Probabilitas!$A$27:$A$28,0))</x:f>
        <x:v>0.0000043025662753556825</x:v>
      </x:c>
      <x:c r="I308" s="26" t="n">
        <x:f>Probabilitas!$C$5*INDEX(Probabilitas!$E$10:$E$11,MATCH(D308,Probabilitas!$A$10:$A$11,0))*INDEX(Probabilitas!$E$16:$E$22,MATCH(E308,Probabilitas!$A$16:$A$22,0))*INDEX(Probabilitas!$E$27:$E$28,MATCH(F308,Probabilitas!$A$27:$A$28,0))</x:f>
        <x:v>0.14651049047689044</x:v>
      </x:c>
      <x:c r="J308" s="26" t="n">
        <x:f>IFERROR(H308/(H308+I308),0)</x:f>
        <x:v>0.000029366087792159474</x:v>
      </x:c>
      <x:c r="K308" s="26" t="n">
        <x:f>IFERROR(I308/(H308+I308),0)</x:f>
        <x:v>0.999970633912208</x:v>
      </x:c>
      <x:c r="L308" s="24" t="str">
        <x:f>IF(J308&gt;=K308,"Minat","Tidak minat")</x:f>
        <x:v>Tidak minat</x:v>
      </x:c>
      <x:c r="M308" s="24" t="str">
        <x:f>IF(L308=G308,"Sesuai label latih","Berbeda dari label latih")</x:f>
        <x:v>Sesuai label latih</x:v>
      </x:c>
    </x:row>
    <x:row r="309">
      <x:c r="A309" s="24" t="n">
        <x:v>308</x:v>
      </x:c>
      <x:c r="B309" s="24" t="str">
        <x:v>TSM2-L-013</x:v>
      </x:c>
      <x:c r="C309" s="24" t="str">
        <x:v>Siswa TSM2 L-013</x:v>
      </x:c>
      <x:c r="D309" s="24" t="str">
        <x:v>TSM / Teknik Sepeda Motor</x:v>
      </x:c>
      <x:c r="E309" s="24" t="str">
        <x:v>TSM 2</x:v>
      </x:c>
      <x:c r="F309" s="24" t="str">
        <x:v>Laki-laki</x:v>
      </x:c>
      <x:c r="G309" s="24" t="str">
        <x:v>Tidak minat</x:v>
      </x:c>
      <x:c r="H309" s="26" t="n">
        <x:f>Probabilitas!$C$4*INDEX(Probabilitas!$C$10:$C$11,MATCH(D309,Probabilitas!$A$10:$A$11,0))*INDEX(Probabilitas!$C$16:$C$22,MATCH(E309,Probabilitas!$A$16:$A$22,0))*INDEX(Probabilitas!$C$27:$C$28,MATCH(F309,Probabilitas!$A$27:$A$28,0))</x:f>
        <x:v>0.0000043025662753556825</x:v>
      </x:c>
      <x:c r="I309" s="26" t="n">
        <x:f>Probabilitas!$C$5*INDEX(Probabilitas!$E$10:$E$11,MATCH(D309,Probabilitas!$A$10:$A$11,0))*INDEX(Probabilitas!$E$16:$E$22,MATCH(E309,Probabilitas!$A$16:$A$22,0))*INDEX(Probabilitas!$E$27:$E$28,MATCH(F309,Probabilitas!$A$27:$A$28,0))</x:f>
        <x:v>0.14651049047689044</x:v>
      </x:c>
      <x:c r="J309" s="26" t="n">
        <x:f>IFERROR(H309/(H309+I309),0)</x:f>
        <x:v>0.000029366087792159474</x:v>
      </x:c>
      <x:c r="K309" s="26" t="n">
        <x:f>IFERROR(I309/(H309+I309),0)</x:f>
        <x:v>0.999970633912208</x:v>
      </x:c>
      <x:c r="L309" s="24" t="str">
        <x:f>IF(J309&gt;=K309,"Minat","Tidak minat")</x:f>
        <x:v>Tidak minat</x:v>
      </x:c>
      <x:c r="M309" s="24" t="str">
        <x:f>IF(L309=G309,"Sesuai label latih","Berbeda dari label latih")</x:f>
        <x:v>Sesuai label latih</x:v>
      </x:c>
    </x:row>
    <x:row r="310">
      <x:c r="A310" s="24" t="n">
        <x:v>309</x:v>
      </x:c>
      <x:c r="B310" s="24" t="str">
        <x:v>TSM2-L-014</x:v>
      </x:c>
      <x:c r="C310" s="24" t="str">
        <x:v>Siswa TSM2 L-014</x:v>
      </x:c>
      <x:c r="D310" s="24" t="str">
        <x:v>TSM / Teknik Sepeda Motor</x:v>
      </x:c>
      <x:c r="E310" s="24" t="str">
        <x:v>TSM 2</x:v>
      </x:c>
      <x:c r="F310" s="24" t="str">
        <x:v>Laki-laki</x:v>
      </x:c>
      <x:c r="G310" s="24" t="str">
        <x:v>Tidak minat</x:v>
      </x:c>
      <x:c r="H310" s="26" t="n">
        <x:f>Probabilitas!$C$4*INDEX(Probabilitas!$C$10:$C$11,MATCH(D310,Probabilitas!$A$10:$A$11,0))*INDEX(Probabilitas!$C$16:$C$22,MATCH(E310,Probabilitas!$A$16:$A$22,0))*INDEX(Probabilitas!$C$27:$C$28,MATCH(F310,Probabilitas!$A$27:$A$28,0))</x:f>
        <x:v>0.0000043025662753556825</x:v>
      </x:c>
      <x:c r="I310" s="26" t="n">
        <x:f>Probabilitas!$C$5*INDEX(Probabilitas!$E$10:$E$11,MATCH(D310,Probabilitas!$A$10:$A$11,0))*INDEX(Probabilitas!$E$16:$E$22,MATCH(E310,Probabilitas!$A$16:$A$22,0))*INDEX(Probabilitas!$E$27:$E$28,MATCH(F310,Probabilitas!$A$27:$A$28,0))</x:f>
        <x:v>0.14651049047689044</x:v>
      </x:c>
      <x:c r="J310" s="26" t="n">
        <x:f>IFERROR(H310/(H310+I310),0)</x:f>
        <x:v>0.000029366087792159474</x:v>
      </x:c>
      <x:c r="K310" s="26" t="n">
        <x:f>IFERROR(I310/(H310+I310),0)</x:f>
        <x:v>0.999970633912208</x:v>
      </x:c>
      <x:c r="L310" s="24" t="str">
        <x:f>IF(J310&gt;=K310,"Minat","Tidak minat")</x:f>
        <x:v>Tidak minat</x:v>
      </x:c>
      <x:c r="M310" s="24" t="str">
        <x:f>IF(L310=G310,"Sesuai label latih","Berbeda dari label latih")</x:f>
        <x:v>Sesuai label latih</x:v>
      </x:c>
    </x:row>
    <x:row r="311">
      <x:c r="A311" s="24" t="n">
        <x:v>310</x:v>
      </x:c>
      <x:c r="B311" s="24" t="str">
        <x:v>TSM2-L-015</x:v>
      </x:c>
      <x:c r="C311" s="24" t="str">
        <x:v>Siswa TSM2 L-015</x:v>
      </x:c>
      <x:c r="D311" s="24" t="str">
        <x:v>TSM / Teknik Sepeda Motor</x:v>
      </x:c>
      <x:c r="E311" s="24" t="str">
        <x:v>TSM 2</x:v>
      </x:c>
      <x:c r="F311" s="24" t="str">
        <x:v>Laki-laki</x:v>
      </x:c>
      <x:c r="G311" s="24" t="str">
        <x:v>Tidak minat</x:v>
      </x:c>
      <x:c r="H311" s="26" t="n">
        <x:f>Probabilitas!$C$4*INDEX(Probabilitas!$C$10:$C$11,MATCH(D311,Probabilitas!$A$10:$A$11,0))*INDEX(Probabilitas!$C$16:$C$22,MATCH(E311,Probabilitas!$A$16:$A$22,0))*INDEX(Probabilitas!$C$27:$C$28,MATCH(F311,Probabilitas!$A$27:$A$28,0))</x:f>
        <x:v>0.0000043025662753556825</x:v>
      </x:c>
      <x:c r="I311" s="26" t="n">
        <x:f>Probabilitas!$C$5*INDEX(Probabilitas!$E$10:$E$11,MATCH(D311,Probabilitas!$A$10:$A$11,0))*INDEX(Probabilitas!$E$16:$E$22,MATCH(E311,Probabilitas!$A$16:$A$22,0))*INDEX(Probabilitas!$E$27:$E$28,MATCH(F311,Probabilitas!$A$27:$A$28,0))</x:f>
        <x:v>0.14651049047689044</x:v>
      </x:c>
      <x:c r="J311" s="26" t="n">
        <x:f>IFERROR(H311/(H311+I311),0)</x:f>
        <x:v>0.000029366087792159474</x:v>
      </x:c>
      <x:c r="K311" s="26" t="n">
        <x:f>IFERROR(I311/(H311+I311),0)</x:f>
        <x:v>0.999970633912208</x:v>
      </x:c>
      <x:c r="L311" s="24" t="str">
        <x:f>IF(J311&gt;=K311,"Minat","Tidak minat")</x:f>
        <x:v>Tidak minat</x:v>
      </x:c>
      <x:c r="M311" s="24" t="str">
        <x:f>IF(L311=G311,"Sesuai label latih","Berbeda dari label latih")</x:f>
        <x:v>Sesuai label latih</x:v>
      </x:c>
    </x:row>
    <x:row r="312">
      <x:c r="A312" s="24" t="n">
        <x:v>311</x:v>
      </x:c>
      <x:c r="B312" s="24" t="str">
        <x:v>TSM2-L-016</x:v>
      </x:c>
      <x:c r="C312" s="24" t="str">
        <x:v>Siswa TSM2 L-016</x:v>
      </x:c>
      <x:c r="D312" s="24" t="str">
        <x:v>TSM / Teknik Sepeda Motor</x:v>
      </x:c>
      <x:c r="E312" s="24" t="str">
        <x:v>TSM 2</x:v>
      </x:c>
      <x:c r="F312" s="24" t="str">
        <x:v>Laki-laki</x:v>
      </x:c>
      <x:c r="G312" s="24" t="str">
        <x:v>Tidak minat</x:v>
      </x:c>
      <x:c r="H312" s="26" t="n">
        <x:f>Probabilitas!$C$4*INDEX(Probabilitas!$C$10:$C$11,MATCH(D312,Probabilitas!$A$10:$A$11,0))*INDEX(Probabilitas!$C$16:$C$22,MATCH(E312,Probabilitas!$A$16:$A$22,0))*INDEX(Probabilitas!$C$27:$C$28,MATCH(F312,Probabilitas!$A$27:$A$28,0))</x:f>
        <x:v>0.0000043025662753556825</x:v>
      </x:c>
      <x:c r="I312" s="26" t="n">
        <x:f>Probabilitas!$C$5*INDEX(Probabilitas!$E$10:$E$11,MATCH(D312,Probabilitas!$A$10:$A$11,0))*INDEX(Probabilitas!$E$16:$E$22,MATCH(E312,Probabilitas!$A$16:$A$22,0))*INDEX(Probabilitas!$E$27:$E$28,MATCH(F312,Probabilitas!$A$27:$A$28,0))</x:f>
        <x:v>0.14651049047689044</x:v>
      </x:c>
      <x:c r="J312" s="26" t="n">
        <x:f>IFERROR(H312/(H312+I312),0)</x:f>
        <x:v>0.000029366087792159474</x:v>
      </x:c>
      <x:c r="K312" s="26" t="n">
        <x:f>IFERROR(I312/(H312+I312),0)</x:f>
        <x:v>0.999970633912208</x:v>
      </x:c>
      <x:c r="L312" s="24" t="str">
        <x:f>IF(J312&gt;=K312,"Minat","Tidak minat")</x:f>
        <x:v>Tidak minat</x:v>
      </x:c>
      <x:c r="M312" s="24" t="str">
        <x:f>IF(L312=G312,"Sesuai label latih","Berbeda dari label latih")</x:f>
        <x:v>Sesuai label latih</x:v>
      </x:c>
    </x:row>
    <x:row r="313">
      <x:c r="A313" s="24" t="n">
        <x:v>312</x:v>
      </x:c>
      <x:c r="B313" s="24" t="str">
        <x:v>TSM2-L-017</x:v>
      </x:c>
      <x:c r="C313" s="24" t="str">
        <x:v>Siswa TSM2 L-017</x:v>
      </x:c>
      <x:c r="D313" s="24" t="str">
        <x:v>TSM / Teknik Sepeda Motor</x:v>
      </x:c>
      <x:c r="E313" s="24" t="str">
        <x:v>TSM 2</x:v>
      </x:c>
      <x:c r="F313" s="24" t="str">
        <x:v>Laki-laki</x:v>
      </x:c>
      <x:c r="G313" s="24" t="str">
        <x:v>Tidak minat</x:v>
      </x:c>
      <x:c r="H313" s="26" t="n">
        <x:f>Probabilitas!$C$4*INDEX(Probabilitas!$C$10:$C$11,MATCH(D313,Probabilitas!$A$10:$A$11,0))*INDEX(Probabilitas!$C$16:$C$22,MATCH(E313,Probabilitas!$A$16:$A$22,0))*INDEX(Probabilitas!$C$27:$C$28,MATCH(F313,Probabilitas!$A$27:$A$28,0))</x:f>
        <x:v>0.0000043025662753556825</x:v>
      </x:c>
      <x:c r="I313" s="26" t="n">
        <x:f>Probabilitas!$C$5*INDEX(Probabilitas!$E$10:$E$11,MATCH(D313,Probabilitas!$A$10:$A$11,0))*INDEX(Probabilitas!$E$16:$E$22,MATCH(E313,Probabilitas!$A$16:$A$22,0))*INDEX(Probabilitas!$E$27:$E$28,MATCH(F313,Probabilitas!$A$27:$A$28,0))</x:f>
        <x:v>0.14651049047689044</x:v>
      </x:c>
      <x:c r="J313" s="26" t="n">
        <x:f>IFERROR(H313/(H313+I313),0)</x:f>
        <x:v>0.000029366087792159474</x:v>
      </x:c>
      <x:c r="K313" s="26" t="n">
        <x:f>IFERROR(I313/(H313+I313),0)</x:f>
        <x:v>0.999970633912208</x:v>
      </x:c>
      <x:c r="L313" s="24" t="str">
        <x:f>IF(J313&gt;=K313,"Minat","Tidak minat")</x:f>
        <x:v>Tidak minat</x:v>
      </x:c>
      <x:c r="M313" s="24" t="str">
        <x:f>IF(L313=G313,"Sesuai label latih","Berbeda dari label latih")</x:f>
        <x:v>Sesuai label latih</x:v>
      </x:c>
    </x:row>
    <x:row r="314">
      <x:c r="A314" s="24" t="n">
        <x:v>313</x:v>
      </x:c>
      <x:c r="B314" s="24" t="str">
        <x:v>TSM2-L-018</x:v>
      </x:c>
      <x:c r="C314" s="24" t="str">
        <x:v>Siswa TSM2 L-018</x:v>
      </x:c>
      <x:c r="D314" s="24" t="str">
        <x:v>TSM / Teknik Sepeda Motor</x:v>
      </x:c>
      <x:c r="E314" s="24" t="str">
        <x:v>TSM 2</x:v>
      </x:c>
      <x:c r="F314" s="24" t="str">
        <x:v>Laki-laki</x:v>
      </x:c>
      <x:c r="G314" s="24" t="str">
        <x:v>Tidak minat</x:v>
      </x:c>
      <x:c r="H314" s="26" t="n">
        <x:f>Probabilitas!$C$4*INDEX(Probabilitas!$C$10:$C$11,MATCH(D314,Probabilitas!$A$10:$A$11,0))*INDEX(Probabilitas!$C$16:$C$22,MATCH(E314,Probabilitas!$A$16:$A$22,0))*INDEX(Probabilitas!$C$27:$C$28,MATCH(F314,Probabilitas!$A$27:$A$28,0))</x:f>
        <x:v>0.0000043025662753556825</x:v>
      </x:c>
      <x:c r="I314" s="26" t="n">
        <x:f>Probabilitas!$C$5*INDEX(Probabilitas!$E$10:$E$11,MATCH(D314,Probabilitas!$A$10:$A$11,0))*INDEX(Probabilitas!$E$16:$E$22,MATCH(E314,Probabilitas!$A$16:$A$22,0))*INDEX(Probabilitas!$E$27:$E$28,MATCH(F314,Probabilitas!$A$27:$A$28,0))</x:f>
        <x:v>0.14651049047689044</x:v>
      </x:c>
      <x:c r="J314" s="26" t="n">
        <x:f>IFERROR(H314/(H314+I314),0)</x:f>
        <x:v>0.000029366087792159474</x:v>
      </x:c>
      <x:c r="K314" s="26" t="n">
        <x:f>IFERROR(I314/(H314+I314),0)</x:f>
        <x:v>0.999970633912208</x:v>
      </x:c>
      <x:c r="L314" s="24" t="str">
        <x:f>IF(J314&gt;=K314,"Minat","Tidak minat")</x:f>
        <x:v>Tidak minat</x:v>
      </x:c>
      <x:c r="M314" s="24" t="str">
        <x:f>IF(L314=G314,"Sesuai label latih","Berbeda dari label latih")</x:f>
        <x:v>Sesuai label latih</x:v>
      </x:c>
    </x:row>
    <x:row r="315">
      <x:c r="A315" s="24" t="n">
        <x:v>314</x:v>
      </x:c>
      <x:c r="B315" s="24" t="str">
        <x:v>TSM2-L-019</x:v>
      </x:c>
      <x:c r="C315" s="24" t="str">
        <x:v>Siswa TSM2 L-019</x:v>
      </x:c>
      <x:c r="D315" s="24" t="str">
        <x:v>TSM / Teknik Sepeda Motor</x:v>
      </x:c>
      <x:c r="E315" s="24" t="str">
        <x:v>TSM 2</x:v>
      </x:c>
      <x:c r="F315" s="24" t="str">
        <x:v>Laki-laki</x:v>
      </x:c>
      <x:c r="G315" s="24" t="str">
        <x:v>Tidak minat</x:v>
      </x:c>
      <x:c r="H315" s="26" t="n">
        <x:f>Probabilitas!$C$4*INDEX(Probabilitas!$C$10:$C$11,MATCH(D315,Probabilitas!$A$10:$A$11,0))*INDEX(Probabilitas!$C$16:$C$22,MATCH(E315,Probabilitas!$A$16:$A$22,0))*INDEX(Probabilitas!$C$27:$C$28,MATCH(F315,Probabilitas!$A$27:$A$28,0))</x:f>
        <x:v>0.0000043025662753556825</x:v>
      </x:c>
      <x:c r="I315" s="26" t="n">
        <x:f>Probabilitas!$C$5*INDEX(Probabilitas!$E$10:$E$11,MATCH(D315,Probabilitas!$A$10:$A$11,0))*INDEX(Probabilitas!$E$16:$E$22,MATCH(E315,Probabilitas!$A$16:$A$22,0))*INDEX(Probabilitas!$E$27:$E$28,MATCH(F315,Probabilitas!$A$27:$A$28,0))</x:f>
        <x:v>0.14651049047689044</x:v>
      </x:c>
      <x:c r="J315" s="26" t="n">
        <x:f>IFERROR(H315/(H315+I315),0)</x:f>
        <x:v>0.000029366087792159474</x:v>
      </x:c>
      <x:c r="K315" s="26" t="n">
        <x:f>IFERROR(I315/(H315+I315),0)</x:f>
        <x:v>0.999970633912208</x:v>
      </x:c>
      <x:c r="L315" s="24" t="str">
        <x:f>IF(J315&gt;=K315,"Minat","Tidak minat")</x:f>
        <x:v>Tidak minat</x:v>
      </x:c>
      <x:c r="M315" s="24" t="str">
        <x:f>IF(L315=G315,"Sesuai label latih","Berbeda dari label latih")</x:f>
        <x:v>Sesuai label latih</x:v>
      </x:c>
    </x:row>
    <x:row r="316">
      <x:c r="A316" s="24" t="n">
        <x:v>315</x:v>
      </x:c>
      <x:c r="B316" s="24" t="str">
        <x:v>TSM2-L-020</x:v>
      </x:c>
      <x:c r="C316" s="24" t="str">
        <x:v>Siswa TSM2 L-020</x:v>
      </x:c>
      <x:c r="D316" s="24" t="str">
        <x:v>TSM / Teknik Sepeda Motor</x:v>
      </x:c>
      <x:c r="E316" s="24" t="str">
        <x:v>TSM 2</x:v>
      </x:c>
      <x:c r="F316" s="24" t="str">
        <x:v>Laki-laki</x:v>
      </x:c>
      <x:c r="G316" s="24" t="str">
        <x:v>Tidak minat</x:v>
      </x:c>
      <x:c r="H316" s="26" t="n">
        <x:f>Probabilitas!$C$4*INDEX(Probabilitas!$C$10:$C$11,MATCH(D316,Probabilitas!$A$10:$A$11,0))*INDEX(Probabilitas!$C$16:$C$22,MATCH(E316,Probabilitas!$A$16:$A$22,0))*INDEX(Probabilitas!$C$27:$C$28,MATCH(F316,Probabilitas!$A$27:$A$28,0))</x:f>
        <x:v>0.0000043025662753556825</x:v>
      </x:c>
      <x:c r="I316" s="26" t="n">
        <x:f>Probabilitas!$C$5*INDEX(Probabilitas!$E$10:$E$11,MATCH(D316,Probabilitas!$A$10:$A$11,0))*INDEX(Probabilitas!$E$16:$E$22,MATCH(E316,Probabilitas!$A$16:$A$22,0))*INDEX(Probabilitas!$E$27:$E$28,MATCH(F316,Probabilitas!$A$27:$A$28,0))</x:f>
        <x:v>0.14651049047689044</x:v>
      </x:c>
      <x:c r="J316" s="26" t="n">
        <x:f>IFERROR(H316/(H316+I316),0)</x:f>
        <x:v>0.000029366087792159474</x:v>
      </x:c>
      <x:c r="K316" s="26" t="n">
        <x:f>IFERROR(I316/(H316+I316),0)</x:f>
        <x:v>0.999970633912208</x:v>
      </x:c>
      <x:c r="L316" s="24" t="str">
        <x:f>IF(J316&gt;=K316,"Minat","Tidak minat")</x:f>
        <x:v>Tidak minat</x:v>
      </x:c>
      <x:c r="M316" s="24" t="str">
        <x:f>IF(L316=G316,"Sesuai label latih","Berbeda dari label latih")</x:f>
        <x:v>Sesuai label latih</x:v>
      </x:c>
    </x:row>
    <x:row r="317">
      <x:c r="A317" s="24" t="n">
        <x:v>316</x:v>
      </x:c>
      <x:c r="B317" s="24" t="str">
        <x:v>TSM2-L-021</x:v>
      </x:c>
      <x:c r="C317" s="24" t="str">
        <x:v>Siswa TSM2 L-021</x:v>
      </x:c>
      <x:c r="D317" s="24" t="str">
        <x:v>TSM / Teknik Sepeda Motor</x:v>
      </x:c>
      <x:c r="E317" s="24" t="str">
        <x:v>TSM 2</x:v>
      </x:c>
      <x:c r="F317" s="24" t="str">
        <x:v>Laki-laki</x:v>
      </x:c>
      <x:c r="G317" s="24" t="str">
        <x:v>Tidak minat</x:v>
      </x:c>
      <x:c r="H317" s="26" t="n">
        <x:f>Probabilitas!$C$4*INDEX(Probabilitas!$C$10:$C$11,MATCH(D317,Probabilitas!$A$10:$A$11,0))*INDEX(Probabilitas!$C$16:$C$22,MATCH(E317,Probabilitas!$A$16:$A$22,0))*INDEX(Probabilitas!$C$27:$C$28,MATCH(F317,Probabilitas!$A$27:$A$28,0))</x:f>
        <x:v>0.0000043025662753556825</x:v>
      </x:c>
      <x:c r="I317" s="26" t="n">
        <x:f>Probabilitas!$C$5*INDEX(Probabilitas!$E$10:$E$11,MATCH(D317,Probabilitas!$A$10:$A$11,0))*INDEX(Probabilitas!$E$16:$E$22,MATCH(E317,Probabilitas!$A$16:$A$22,0))*INDEX(Probabilitas!$E$27:$E$28,MATCH(F317,Probabilitas!$A$27:$A$28,0))</x:f>
        <x:v>0.14651049047689044</x:v>
      </x:c>
      <x:c r="J317" s="26" t="n">
        <x:f>IFERROR(H317/(H317+I317),0)</x:f>
        <x:v>0.000029366087792159474</x:v>
      </x:c>
      <x:c r="K317" s="26" t="n">
        <x:f>IFERROR(I317/(H317+I317),0)</x:f>
        <x:v>0.999970633912208</x:v>
      </x:c>
      <x:c r="L317" s="24" t="str">
        <x:f>IF(J317&gt;=K317,"Minat","Tidak minat")</x:f>
        <x:v>Tidak minat</x:v>
      </x:c>
      <x:c r="M317" s="24" t="str">
        <x:f>IF(L317=G317,"Sesuai label latih","Berbeda dari label latih")</x:f>
        <x:v>Sesuai label latih</x:v>
      </x:c>
    </x:row>
    <x:row r="318">
      <x:c r="A318" s="24" t="n">
        <x:v>317</x:v>
      </x:c>
      <x:c r="B318" s="24" t="str">
        <x:v>TSM2-L-022</x:v>
      </x:c>
      <x:c r="C318" s="24" t="str">
        <x:v>Siswa TSM2 L-022</x:v>
      </x:c>
      <x:c r="D318" s="24" t="str">
        <x:v>TSM / Teknik Sepeda Motor</x:v>
      </x:c>
      <x:c r="E318" s="24" t="str">
        <x:v>TSM 2</x:v>
      </x:c>
      <x:c r="F318" s="24" t="str">
        <x:v>Laki-laki</x:v>
      </x:c>
      <x:c r="G318" s="24" t="str">
        <x:v>Tidak minat</x:v>
      </x:c>
      <x:c r="H318" s="26" t="n">
        <x:f>Probabilitas!$C$4*INDEX(Probabilitas!$C$10:$C$11,MATCH(D318,Probabilitas!$A$10:$A$11,0))*INDEX(Probabilitas!$C$16:$C$22,MATCH(E318,Probabilitas!$A$16:$A$22,0))*INDEX(Probabilitas!$C$27:$C$28,MATCH(F318,Probabilitas!$A$27:$A$28,0))</x:f>
        <x:v>0.0000043025662753556825</x:v>
      </x:c>
      <x:c r="I318" s="26" t="n">
        <x:f>Probabilitas!$C$5*INDEX(Probabilitas!$E$10:$E$11,MATCH(D318,Probabilitas!$A$10:$A$11,0))*INDEX(Probabilitas!$E$16:$E$22,MATCH(E318,Probabilitas!$A$16:$A$22,0))*INDEX(Probabilitas!$E$27:$E$28,MATCH(F318,Probabilitas!$A$27:$A$28,0))</x:f>
        <x:v>0.14651049047689044</x:v>
      </x:c>
      <x:c r="J318" s="26" t="n">
        <x:f>IFERROR(H318/(H318+I318),0)</x:f>
        <x:v>0.000029366087792159474</x:v>
      </x:c>
      <x:c r="K318" s="26" t="n">
        <x:f>IFERROR(I318/(H318+I318),0)</x:f>
        <x:v>0.999970633912208</x:v>
      </x:c>
      <x:c r="L318" s="24" t="str">
        <x:f>IF(J318&gt;=K318,"Minat","Tidak minat")</x:f>
        <x:v>Tidak minat</x:v>
      </x:c>
      <x:c r="M318" s="24" t="str">
        <x:f>IF(L318=G318,"Sesuai label latih","Berbeda dari label latih")</x:f>
        <x:v>Sesuai label latih</x:v>
      </x:c>
    </x:row>
    <x:row r="319">
      <x:c r="A319" s="24" t="n">
        <x:v>318</x:v>
      </x:c>
      <x:c r="B319" s="24" t="str">
        <x:v>TSM2-L-023</x:v>
      </x:c>
      <x:c r="C319" s="24" t="str">
        <x:v>Siswa TSM2 L-023</x:v>
      </x:c>
      <x:c r="D319" s="24" t="str">
        <x:v>TSM / Teknik Sepeda Motor</x:v>
      </x:c>
      <x:c r="E319" s="24" t="str">
        <x:v>TSM 2</x:v>
      </x:c>
      <x:c r="F319" s="24" t="str">
        <x:v>Laki-laki</x:v>
      </x:c>
      <x:c r="G319" s="24" t="str">
        <x:v>Tidak minat</x:v>
      </x:c>
      <x:c r="H319" s="26" t="n">
        <x:f>Probabilitas!$C$4*INDEX(Probabilitas!$C$10:$C$11,MATCH(D319,Probabilitas!$A$10:$A$11,0))*INDEX(Probabilitas!$C$16:$C$22,MATCH(E319,Probabilitas!$A$16:$A$22,0))*INDEX(Probabilitas!$C$27:$C$28,MATCH(F319,Probabilitas!$A$27:$A$28,0))</x:f>
        <x:v>0.0000043025662753556825</x:v>
      </x:c>
      <x:c r="I319" s="26" t="n">
        <x:f>Probabilitas!$C$5*INDEX(Probabilitas!$E$10:$E$11,MATCH(D319,Probabilitas!$A$10:$A$11,0))*INDEX(Probabilitas!$E$16:$E$22,MATCH(E319,Probabilitas!$A$16:$A$22,0))*INDEX(Probabilitas!$E$27:$E$28,MATCH(F319,Probabilitas!$A$27:$A$28,0))</x:f>
        <x:v>0.14651049047689044</x:v>
      </x:c>
      <x:c r="J319" s="26" t="n">
        <x:f>IFERROR(H319/(H319+I319),0)</x:f>
        <x:v>0.000029366087792159474</x:v>
      </x:c>
      <x:c r="K319" s="26" t="n">
        <x:f>IFERROR(I319/(H319+I319),0)</x:f>
        <x:v>0.999970633912208</x:v>
      </x:c>
      <x:c r="L319" s="24" t="str">
        <x:f>IF(J319&gt;=K319,"Minat","Tidak minat")</x:f>
        <x:v>Tidak minat</x:v>
      </x:c>
      <x:c r="M319" s="24" t="str">
        <x:f>IF(L319=G319,"Sesuai label latih","Berbeda dari label latih")</x:f>
        <x:v>Sesuai label latih</x:v>
      </x:c>
    </x:row>
    <x:row r="320">
      <x:c r="A320" s="24" t="n">
        <x:v>319</x:v>
      </x:c>
      <x:c r="B320" s="24" t="str">
        <x:v>TSM2-L-024</x:v>
      </x:c>
      <x:c r="C320" s="24" t="str">
        <x:v>Siswa TSM2 L-024</x:v>
      </x:c>
      <x:c r="D320" s="24" t="str">
        <x:v>TSM / Teknik Sepeda Motor</x:v>
      </x:c>
      <x:c r="E320" s="24" t="str">
        <x:v>TSM 2</x:v>
      </x:c>
      <x:c r="F320" s="24" t="str">
        <x:v>Laki-laki</x:v>
      </x:c>
      <x:c r="G320" s="24" t="str">
        <x:v>Tidak minat</x:v>
      </x:c>
      <x:c r="H320" s="26" t="n">
        <x:f>Probabilitas!$C$4*INDEX(Probabilitas!$C$10:$C$11,MATCH(D320,Probabilitas!$A$10:$A$11,0))*INDEX(Probabilitas!$C$16:$C$22,MATCH(E320,Probabilitas!$A$16:$A$22,0))*INDEX(Probabilitas!$C$27:$C$28,MATCH(F320,Probabilitas!$A$27:$A$28,0))</x:f>
        <x:v>0.0000043025662753556825</x:v>
      </x:c>
      <x:c r="I320" s="26" t="n">
        <x:f>Probabilitas!$C$5*INDEX(Probabilitas!$E$10:$E$11,MATCH(D320,Probabilitas!$A$10:$A$11,0))*INDEX(Probabilitas!$E$16:$E$22,MATCH(E320,Probabilitas!$A$16:$A$22,0))*INDEX(Probabilitas!$E$27:$E$28,MATCH(F320,Probabilitas!$A$27:$A$28,0))</x:f>
        <x:v>0.14651049047689044</x:v>
      </x:c>
      <x:c r="J320" s="26" t="n">
        <x:f>IFERROR(H320/(H320+I320),0)</x:f>
        <x:v>0.000029366087792159474</x:v>
      </x:c>
      <x:c r="K320" s="26" t="n">
        <x:f>IFERROR(I320/(H320+I320),0)</x:f>
        <x:v>0.999970633912208</x:v>
      </x:c>
      <x:c r="L320" s="24" t="str">
        <x:f>IF(J320&gt;=K320,"Minat","Tidak minat")</x:f>
        <x:v>Tidak minat</x:v>
      </x:c>
      <x:c r="M320" s="24" t="str">
        <x:f>IF(L320=G320,"Sesuai label latih","Berbeda dari label latih")</x:f>
        <x:v>Sesuai label latih</x:v>
      </x:c>
    </x:row>
    <x:row r="321">
      <x:c r="A321" s="24" t="n">
        <x:v>320</x:v>
      </x:c>
      <x:c r="B321" s="24" t="str">
        <x:v>TSM2-L-025</x:v>
      </x:c>
      <x:c r="C321" s="24" t="str">
        <x:v>Siswa TSM2 L-025</x:v>
      </x:c>
      <x:c r="D321" s="24" t="str">
        <x:v>TSM / Teknik Sepeda Motor</x:v>
      </x:c>
      <x:c r="E321" s="24" t="str">
        <x:v>TSM 2</x:v>
      </x:c>
      <x:c r="F321" s="24" t="str">
        <x:v>Laki-laki</x:v>
      </x:c>
      <x:c r="G321" s="24" t="str">
        <x:v>Tidak minat</x:v>
      </x:c>
      <x:c r="H321" s="26" t="n">
        <x:f>Probabilitas!$C$4*INDEX(Probabilitas!$C$10:$C$11,MATCH(D321,Probabilitas!$A$10:$A$11,0))*INDEX(Probabilitas!$C$16:$C$22,MATCH(E321,Probabilitas!$A$16:$A$22,0))*INDEX(Probabilitas!$C$27:$C$28,MATCH(F321,Probabilitas!$A$27:$A$28,0))</x:f>
        <x:v>0.0000043025662753556825</x:v>
      </x:c>
      <x:c r="I321" s="26" t="n">
        <x:f>Probabilitas!$C$5*INDEX(Probabilitas!$E$10:$E$11,MATCH(D321,Probabilitas!$A$10:$A$11,0))*INDEX(Probabilitas!$E$16:$E$22,MATCH(E321,Probabilitas!$A$16:$A$22,0))*INDEX(Probabilitas!$E$27:$E$28,MATCH(F321,Probabilitas!$A$27:$A$28,0))</x:f>
        <x:v>0.14651049047689044</x:v>
      </x:c>
      <x:c r="J321" s="26" t="n">
        <x:f>IFERROR(H321/(H321+I321),0)</x:f>
        <x:v>0.000029366087792159474</x:v>
      </x:c>
      <x:c r="K321" s="26" t="n">
        <x:f>IFERROR(I321/(H321+I321),0)</x:f>
        <x:v>0.999970633912208</x:v>
      </x:c>
      <x:c r="L321" s="24" t="str">
        <x:f>IF(J321&gt;=K321,"Minat","Tidak minat")</x:f>
        <x:v>Tidak minat</x:v>
      </x:c>
      <x:c r="M321" s="24" t="str">
        <x:f>IF(L321=G321,"Sesuai label latih","Berbeda dari label latih")</x:f>
        <x:v>Sesuai label latih</x:v>
      </x:c>
    </x:row>
    <x:row r="322">
      <x:c r="A322" s="24" t="n">
        <x:v>321</x:v>
      </x:c>
      <x:c r="B322" s="24" t="str">
        <x:v>TSM2-L-026</x:v>
      </x:c>
      <x:c r="C322" s="24" t="str">
        <x:v>Siswa TSM2 L-026</x:v>
      </x:c>
      <x:c r="D322" s="24" t="str">
        <x:v>TSM / Teknik Sepeda Motor</x:v>
      </x:c>
      <x:c r="E322" s="24" t="str">
        <x:v>TSM 2</x:v>
      </x:c>
      <x:c r="F322" s="24" t="str">
        <x:v>Laki-laki</x:v>
      </x:c>
      <x:c r="G322" s="24" t="str">
        <x:v>Tidak minat</x:v>
      </x:c>
      <x:c r="H322" s="26" t="n">
        <x:f>Probabilitas!$C$4*INDEX(Probabilitas!$C$10:$C$11,MATCH(D322,Probabilitas!$A$10:$A$11,0))*INDEX(Probabilitas!$C$16:$C$22,MATCH(E322,Probabilitas!$A$16:$A$22,0))*INDEX(Probabilitas!$C$27:$C$28,MATCH(F322,Probabilitas!$A$27:$A$28,0))</x:f>
        <x:v>0.0000043025662753556825</x:v>
      </x:c>
      <x:c r="I322" s="26" t="n">
        <x:f>Probabilitas!$C$5*INDEX(Probabilitas!$E$10:$E$11,MATCH(D322,Probabilitas!$A$10:$A$11,0))*INDEX(Probabilitas!$E$16:$E$22,MATCH(E322,Probabilitas!$A$16:$A$22,0))*INDEX(Probabilitas!$E$27:$E$28,MATCH(F322,Probabilitas!$A$27:$A$28,0))</x:f>
        <x:v>0.14651049047689044</x:v>
      </x:c>
      <x:c r="J322" s="26" t="n">
        <x:f>IFERROR(H322/(H322+I322),0)</x:f>
        <x:v>0.000029366087792159474</x:v>
      </x:c>
      <x:c r="K322" s="26" t="n">
        <x:f>IFERROR(I322/(H322+I322),0)</x:f>
        <x:v>0.999970633912208</x:v>
      </x:c>
      <x:c r="L322" s="24" t="str">
        <x:f>IF(J322&gt;=K322,"Minat","Tidak minat")</x:f>
        <x:v>Tidak minat</x:v>
      </x:c>
      <x:c r="M322" s="24" t="str">
        <x:f>IF(L322=G322,"Sesuai label latih","Berbeda dari label latih")</x:f>
        <x:v>Sesuai label latih</x:v>
      </x:c>
    </x:row>
    <x:row r="323">
      <x:c r="A323" s="24" t="n">
        <x:v>322</x:v>
      </x:c>
      <x:c r="B323" s="24" t="str">
        <x:v>TSM2-L-027</x:v>
      </x:c>
      <x:c r="C323" s="24" t="str">
        <x:v>Siswa TSM2 L-027</x:v>
      </x:c>
      <x:c r="D323" s="24" t="str">
        <x:v>TSM / Teknik Sepeda Motor</x:v>
      </x:c>
      <x:c r="E323" s="24" t="str">
        <x:v>TSM 2</x:v>
      </x:c>
      <x:c r="F323" s="24" t="str">
        <x:v>Laki-laki</x:v>
      </x:c>
      <x:c r="G323" s="24" t="str">
        <x:v>Tidak minat</x:v>
      </x:c>
      <x:c r="H323" s="26" t="n">
        <x:f>Probabilitas!$C$4*INDEX(Probabilitas!$C$10:$C$11,MATCH(D323,Probabilitas!$A$10:$A$11,0))*INDEX(Probabilitas!$C$16:$C$22,MATCH(E323,Probabilitas!$A$16:$A$22,0))*INDEX(Probabilitas!$C$27:$C$28,MATCH(F323,Probabilitas!$A$27:$A$28,0))</x:f>
        <x:v>0.0000043025662753556825</x:v>
      </x:c>
      <x:c r="I323" s="26" t="n">
        <x:f>Probabilitas!$C$5*INDEX(Probabilitas!$E$10:$E$11,MATCH(D323,Probabilitas!$A$10:$A$11,0))*INDEX(Probabilitas!$E$16:$E$22,MATCH(E323,Probabilitas!$A$16:$A$22,0))*INDEX(Probabilitas!$E$27:$E$28,MATCH(F323,Probabilitas!$A$27:$A$28,0))</x:f>
        <x:v>0.14651049047689044</x:v>
      </x:c>
      <x:c r="J323" s="26" t="n">
        <x:f>IFERROR(H323/(H323+I323),0)</x:f>
        <x:v>0.000029366087792159474</x:v>
      </x:c>
      <x:c r="K323" s="26" t="n">
        <x:f>IFERROR(I323/(H323+I323),0)</x:f>
        <x:v>0.999970633912208</x:v>
      </x:c>
      <x:c r="L323" s="24" t="str">
        <x:f>IF(J323&gt;=K323,"Minat","Tidak minat")</x:f>
        <x:v>Tidak minat</x:v>
      </x:c>
      <x:c r="M323" s="24" t="str">
        <x:f>IF(L323=G323,"Sesuai label latih","Berbeda dari label latih")</x:f>
        <x:v>Sesuai label latih</x:v>
      </x:c>
    </x:row>
    <x:row r="324">
      <x:c r="A324" s="24" t="n">
        <x:v>323</x:v>
      </x:c>
      <x:c r="B324" s="24" t="str">
        <x:v>TSM2-L-028</x:v>
      </x:c>
      <x:c r="C324" s="24" t="str">
        <x:v>Siswa TSM2 L-028</x:v>
      </x:c>
      <x:c r="D324" s="24" t="str">
        <x:v>TSM / Teknik Sepeda Motor</x:v>
      </x:c>
      <x:c r="E324" s="24" t="str">
        <x:v>TSM 2</x:v>
      </x:c>
      <x:c r="F324" s="24" t="str">
        <x:v>Laki-laki</x:v>
      </x:c>
      <x:c r="G324" s="24" t="str">
        <x:v>Tidak minat</x:v>
      </x:c>
      <x:c r="H324" s="26" t="n">
        <x:f>Probabilitas!$C$4*INDEX(Probabilitas!$C$10:$C$11,MATCH(D324,Probabilitas!$A$10:$A$11,0))*INDEX(Probabilitas!$C$16:$C$22,MATCH(E324,Probabilitas!$A$16:$A$22,0))*INDEX(Probabilitas!$C$27:$C$28,MATCH(F324,Probabilitas!$A$27:$A$28,0))</x:f>
        <x:v>0.0000043025662753556825</x:v>
      </x:c>
      <x:c r="I324" s="26" t="n">
        <x:f>Probabilitas!$C$5*INDEX(Probabilitas!$E$10:$E$11,MATCH(D324,Probabilitas!$A$10:$A$11,0))*INDEX(Probabilitas!$E$16:$E$22,MATCH(E324,Probabilitas!$A$16:$A$22,0))*INDEX(Probabilitas!$E$27:$E$28,MATCH(F324,Probabilitas!$A$27:$A$28,0))</x:f>
        <x:v>0.14651049047689044</x:v>
      </x:c>
      <x:c r="J324" s="26" t="n">
        <x:f>IFERROR(H324/(H324+I324),0)</x:f>
        <x:v>0.000029366087792159474</x:v>
      </x:c>
      <x:c r="K324" s="26" t="n">
        <x:f>IFERROR(I324/(H324+I324),0)</x:f>
        <x:v>0.999970633912208</x:v>
      </x:c>
      <x:c r="L324" s="24" t="str">
        <x:f>IF(J324&gt;=K324,"Minat","Tidak minat")</x:f>
        <x:v>Tidak minat</x:v>
      </x:c>
      <x:c r="M324" s="24" t="str">
        <x:f>IF(L324=G324,"Sesuai label latih","Berbeda dari label latih")</x:f>
        <x:v>Sesuai label latih</x:v>
      </x:c>
    </x:row>
    <x:row r="325">
      <x:c r="A325" s="24" t="n">
        <x:v>324</x:v>
      </x:c>
      <x:c r="B325" s="24" t="str">
        <x:v>TSM2-L-029</x:v>
      </x:c>
      <x:c r="C325" s="24" t="str">
        <x:v>Siswa TSM2 L-029</x:v>
      </x:c>
      <x:c r="D325" s="24" t="str">
        <x:v>TSM / Teknik Sepeda Motor</x:v>
      </x:c>
      <x:c r="E325" s="24" t="str">
        <x:v>TSM 2</x:v>
      </x:c>
      <x:c r="F325" s="24" t="str">
        <x:v>Laki-laki</x:v>
      </x:c>
      <x:c r="G325" s="24" t="str">
        <x:v>Tidak minat</x:v>
      </x:c>
      <x:c r="H325" s="26" t="n">
        <x:f>Probabilitas!$C$4*INDEX(Probabilitas!$C$10:$C$11,MATCH(D325,Probabilitas!$A$10:$A$11,0))*INDEX(Probabilitas!$C$16:$C$22,MATCH(E325,Probabilitas!$A$16:$A$22,0))*INDEX(Probabilitas!$C$27:$C$28,MATCH(F325,Probabilitas!$A$27:$A$28,0))</x:f>
        <x:v>0.0000043025662753556825</x:v>
      </x:c>
      <x:c r="I325" s="26" t="n">
        <x:f>Probabilitas!$C$5*INDEX(Probabilitas!$E$10:$E$11,MATCH(D325,Probabilitas!$A$10:$A$11,0))*INDEX(Probabilitas!$E$16:$E$22,MATCH(E325,Probabilitas!$A$16:$A$22,0))*INDEX(Probabilitas!$E$27:$E$28,MATCH(F325,Probabilitas!$A$27:$A$28,0))</x:f>
        <x:v>0.14651049047689044</x:v>
      </x:c>
      <x:c r="J325" s="26" t="n">
        <x:f>IFERROR(H325/(H325+I325),0)</x:f>
        <x:v>0.000029366087792159474</x:v>
      </x:c>
      <x:c r="K325" s="26" t="n">
        <x:f>IFERROR(I325/(H325+I325),0)</x:f>
        <x:v>0.999970633912208</x:v>
      </x:c>
      <x:c r="L325" s="24" t="str">
        <x:f>IF(J325&gt;=K325,"Minat","Tidak minat")</x:f>
        <x:v>Tidak minat</x:v>
      </x:c>
      <x:c r="M325" s="24" t="str">
        <x:f>IF(L325=G325,"Sesuai label latih","Berbeda dari label latih")</x:f>
        <x:v>Sesuai label latih</x:v>
      </x:c>
    </x:row>
    <x:row r="326">
      <x:c r="A326" s="24" t="n">
        <x:v>325</x:v>
      </x:c>
      <x:c r="B326" s="24" t="str">
        <x:v>TSM2-L-030</x:v>
      </x:c>
      <x:c r="C326" s="24" t="str">
        <x:v>Siswa TSM2 L-030</x:v>
      </x:c>
      <x:c r="D326" s="24" t="str">
        <x:v>TSM / Teknik Sepeda Motor</x:v>
      </x:c>
      <x:c r="E326" s="24" t="str">
        <x:v>TSM 2</x:v>
      </x:c>
      <x:c r="F326" s="24" t="str">
        <x:v>Laki-laki</x:v>
      </x:c>
      <x:c r="G326" s="24" t="str">
        <x:v>Tidak minat</x:v>
      </x:c>
      <x:c r="H326" s="26" t="n">
        <x:f>Probabilitas!$C$4*INDEX(Probabilitas!$C$10:$C$11,MATCH(D326,Probabilitas!$A$10:$A$11,0))*INDEX(Probabilitas!$C$16:$C$22,MATCH(E326,Probabilitas!$A$16:$A$22,0))*INDEX(Probabilitas!$C$27:$C$28,MATCH(F326,Probabilitas!$A$27:$A$28,0))</x:f>
        <x:v>0.0000043025662753556825</x:v>
      </x:c>
      <x:c r="I326" s="26" t="n">
        <x:f>Probabilitas!$C$5*INDEX(Probabilitas!$E$10:$E$11,MATCH(D326,Probabilitas!$A$10:$A$11,0))*INDEX(Probabilitas!$E$16:$E$22,MATCH(E326,Probabilitas!$A$16:$A$22,0))*INDEX(Probabilitas!$E$27:$E$28,MATCH(F326,Probabilitas!$A$27:$A$28,0))</x:f>
        <x:v>0.14651049047689044</x:v>
      </x:c>
      <x:c r="J326" s="26" t="n">
        <x:f>IFERROR(H326/(H326+I326),0)</x:f>
        <x:v>0.000029366087792159474</x:v>
      </x:c>
      <x:c r="K326" s="26" t="n">
        <x:f>IFERROR(I326/(H326+I326),0)</x:f>
        <x:v>0.999970633912208</x:v>
      </x:c>
      <x:c r="L326" s="24" t="str">
        <x:f>IF(J326&gt;=K326,"Minat","Tidak minat")</x:f>
        <x:v>Tidak minat</x:v>
      </x:c>
      <x:c r="M326" s="24" t="str">
        <x:f>IF(L326=G326,"Sesuai label latih","Berbeda dari label latih")</x:f>
        <x:v>Sesuai label latih</x:v>
      </x:c>
    </x:row>
    <x:row r="327">
      <x:c r="A327" s="24" t="n">
        <x:v>326</x:v>
      </x:c>
      <x:c r="B327" s="24" t="str">
        <x:v>TSM2-L-031</x:v>
      </x:c>
      <x:c r="C327" s="24" t="str">
        <x:v>Siswa TSM2 L-031</x:v>
      </x:c>
      <x:c r="D327" s="24" t="str">
        <x:v>TSM / Teknik Sepeda Motor</x:v>
      </x:c>
      <x:c r="E327" s="24" t="str">
        <x:v>TSM 2</x:v>
      </x:c>
      <x:c r="F327" s="24" t="str">
        <x:v>Laki-laki</x:v>
      </x:c>
      <x:c r="G327" s="24" t="str">
        <x:v>Tidak minat</x:v>
      </x:c>
      <x:c r="H327" s="26" t="n">
        <x:f>Probabilitas!$C$4*INDEX(Probabilitas!$C$10:$C$11,MATCH(D327,Probabilitas!$A$10:$A$11,0))*INDEX(Probabilitas!$C$16:$C$22,MATCH(E327,Probabilitas!$A$16:$A$22,0))*INDEX(Probabilitas!$C$27:$C$28,MATCH(F327,Probabilitas!$A$27:$A$28,0))</x:f>
        <x:v>0.0000043025662753556825</x:v>
      </x:c>
      <x:c r="I327" s="26" t="n">
        <x:f>Probabilitas!$C$5*INDEX(Probabilitas!$E$10:$E$11,MATCH(D327,Probabilitas!$A$10:$A$11,0))*INDEX(Probabilitas!$E$16:$E$22,MATCH(E327,Probabilitas!$A$16:$A$22,0))*INDEX(Probabilitas!$E$27:$E$28,MATCH(F327,Probabilitas!$A$27:$A$28,0))</x:f>
        <x:v>0.14651049047689044</x:v>
      </x:c>
      <x:c r="J327" s="26" t="n">
        <x:f>IFERROR(H327/(H327+I327),0)</x:f>
        <x:v>0.000029366087792159474</x:v>
      </x:c>
      <x:c r="K327" s="26" t="n">
        <x:f>IFERROR(I327/(H327+I327),0)</x:f>
        <x:v>0.999970633912208</x:v>
      </x:c>
      <x:c r="L327" s="24" t="str">
        <x:f>IF(J327&gt;=K327,"Minat","Tidak minat")</x:f>
        <x:v>Tidak minat</x:v>
      </x:c>
      <x:c r="M327" s="24" t="str">
        <x:f>IF(L327=G327,"Sesuai label latih","Berbeda dari label latih")</x:f>
        <x:v>Sesuai label latih</x:v>
      </x:c>
    </x:row>
    <x:row r="328">
      <x:c r="A328" s="24" t="n">
        <x:v>327</x:v>
      </x:c>
      <x:c r="B328" s="24" t="str">
        <x:v>TSM2-L-032</x:v>
      </x:c>
      <x:c r="C328" s="24" t="str">
        <x:v>Siswa TSM2 L-032</x:v>
      </x:c>
      <x:c r="D328" s="24" t="str">
        <x:v>TSM / Teknik Sepeda Motor</x:v>
      </x:c>
      <x:c r="E328" s="24" t="str">
        <x:v>TSM 2</x:v>
      </x:c>
      <x:c r="F328" s="24" t="str">
        <x:v>Laki-laki</x:v>
      </x:c>
      <x:c r="G328" s="24" t="str">
        <x:v>Tidak minat</x:v>
      </x:c>
      <x:c r="H328" s="26" t="n">
        <x:f>Probabilitas!$C$4*INDEX(Probabilitas!$C$10:$C$11,MATCH(D328,Probabilitas!$A$10:$A$11,0))*INDEX(Probabilitas!$C$16:$C$22,MATCH(E328,Probabilitas!$A$16:$A$22,0))*INDEX(Probabilitas!$C$27:$C$28,MATCH(F328,Probabilitas!$A$27:$A$28,0))</x:f>
        <x:v>0.0000043025662753556825</x:v>
      </x:c>
      <x:c r="I328" s="26" t="n">
        <x:f>Probabilitas!$C$5*INDEX(Probabilitas!$E$10:$E$11,MATCH(D328,Probabilitas!$A$10:$A$11,0))*INDEX(Probabilitas!$E$16:$E$22,MATCH(E328,Probabilitas!$A$16:$A$22,0))*INDEX(Probabilitas!$E$27:$E$28,MATCH(F328,Probabilitas!$A$27:$A$28,0))</x:f>
        <x:v>0.14651049047689044</x:v>
      </x:c>
      <x:c r="J328" s="26" t="n">
        <x:f>IFERROR(H328/(H328+I328),0)</x:f>
        <x:v>0.000029366087792159474</x:v>
      </x:c>
      <x:c r="K328" s="26" t="n">
        <x:f>IFERROR(I328/(H328+I328),0)</x:f>
        <x:v>0.999970633912208</x:v>
      </x:c>
      <x:c r="L328" s="24" t="str">
        <x:f>IF(J328&gt;=K328,"Minat","Tidak minat")</x:f>
        <x:v>Tidak minat</x:v>
      </x:c>
      <x:c r="M328" s="24" t="str">
        <x:f>IF(L328=G328,"Sesuai label latih","Berbeda dari label latih")</x:f>
        <x:v>Sesuai label latih</x:v>
      </x:c>
    </x:row>
    <x:row r="329">
      <x:c r="A329" s="24" t="n">
        <x:v>328</x:v>
      </x:c>
      <x:c r="B329" s="24" t="str">
        <x:v>TSM2-L-033</x:v>
      </x:c>
      <x:c r="C329" s="24" t="str">
        <x:v>Siswa TSM2 L-033</x:v>
      </x:c>
      <x:c r="D329" s="24" t="str">
        <x:v>TSM / Teknik Sepeda Motor</x:v>
      </x:c>
      <x:c r="E329" s="24" t="str">
        <x:v>TSM 2</x:v>
      </x:c>
      <x:c r="F329" s="24" t="str">
        <x:v>Laki-laki</x:v>
      </x:c>
      <x:c r="G329" s="24" t="str">
        <x:v>Tidak minat</x:v>
      </x:c>
      <x:c r="H329" s="26" t="n">
        <x:f>Probabilitas!$C$4*INDEX(Probabilitas!$C$10:$C$11,MATCH(D329,Probabilitas!$A$10:$A$11,0))*INDEX(Probabilitas!$C$16:$C$22,MATCH(E329,Probabilitas!$A$16:$A$22,0))*INDEX(Probabilitas!$C$27:$C$28,MATCH(F329,Probabilitas!$A$27:$A$28,0))</x:f>
        <x:v>0.0000043025662753556825</x:v>
      </x:c>
      <x:c r="I329" s="26" t="n">
        <x:f>Probabilitas!$C$5*INDEX(Probabilitas!$E$10:$E$11,MATCH(D329,Probabilitas!$A$10:$A$11,0))*INDEX(Probabilitas!$E$16:$E$22,MATCH(E329,Probabilitas!$A$16:$A$22,0))*INDEX(Probabilitas!$E$27:$E$28,MATCH(F329,Probabilitas!$A$27:$A$28,0))</x:f>
        <x:v>0.14651049047689044</x:v>
      </x:c>
      <x:c r="J329" s="26" t="n">
        <x:f>IFERROR(H329/(H329+I329),0)</x:f>
        <x:v>0.000029366087792159474</x:v>
      </x:c>
      <x:c r="K329" s="26" t="n">
        <x:f>IFERROR(I329/(H329+I329),0)</x:f>
        <x:v>0.999970633912208</x:v>
      </x:c>
      <x:c r="L329" s="24" t="str">
        <x:f>IF(J329&gt;=K329,"Minat","Tidak minat")</x:f>
        <x:v>Tidak minat</x:v>
      </x:c>
      <x:c r="M329" s="24" t="str">
        <x:f>IF(L329=G329,"Sesuai label latih","Berbeda dari label latih")</x:f>
        <x:v>Sesuai label latih</x:v>
      </x:c>
    </x:row>
    <x:row r="330">
      <x:c r="A330" s="24" t="n">
        <x:v>329</x:v>
      </x:c>
      <x:c r="B330" s="24" t="str">
        <x:v>TSM2-L-034</x:v>
      </x:c>
      <x:c r="C330" s="24" t="str">
        <x:v>Siswa TSM2 L-034</x:v>
      </x:c>
      <x:c r="D330" s="24" t="str">
        <x:v>TSM / Teknik Sepeda Motor</x:v>
      </x:c>
      <x:c r="E330" s="24" t="str">
        <x:v>TSM 2</x:v>
      </x:c>
      <x:c r="F330" s="24" t="str">
        <x:v>Laki-laki</x:v>
      </x:c>
      <x:c r="G330" s="24" t="str">
        <x:v>Tidak minat</x:v>
      </x:c>
      <x:c r="H330" s="26" t="n">
        <x:f>Probabilitas!$C$4*INDEX(Probabilitas!$C$10:$C$11,MATCH(D330,Probabilitas!$A$10:$A$11,0))*INDEX(Probabilitas!$C$16:$C$22,MATCH(E330,Probabilitas!$A$16:$A$22,0))*INDEX(Probabilitas!$C$27:$C$28,MATCH(F330,Probabilitas!$A$27:$A$28,0))</x:f>
        <x:v>0.0000043025662753556825</x:v>
      </x:c>
      <x:c r="I330" s="26" t="n">
        <x:f>Probabilitas!$C$5*INDEX(Probabilitas!$E$10:$E$11,MATCH(D330,Probabilitas!$A$10:$A$11,0))*INDEX(Probabilitas!$E$16:$E$22,MATCH(E330,Probabilitas!$A$16:$A$22,0))*INDEX(Probabilitas!$E$27:$E$28,MATCH(F330,Probabilitas!$A$27:$A$28,0))</x:f>
        <x:v>0.14651049047689044</x:v>
      </x:c>
      <x:c r="J330" s="26" t="n">
        <x:f>IFERROR(H330/(H330+I330),0)</x:f>
        <x:v>0.000029366087792159474</x:v>
      </x:c>
      <x:c r="K330" s="26" t="n">
        <x:f>IFERROR(I330/(H330+I330),0)</x:f>
        <x:v>0.999970633912208</x:v>
      </x:c>
      <x:c r="L330" s="24" t="str">
        <x:f>IF(J330&gt;=K330,"Minat","Tidak minat")</x:f>
        <x:v>Tidak minat</x:v>
      </x:c>
      <x:c r="M330" s="24" t="str">
        <x:f>IF(L330=G330,"Sesuai label latih","Berbeda dari label latih")</x:f>
        <x:v>Sesuai label latih</x:v>
      </x:c>
    </x:row>
    <x:row r="331">
      <x:c r="A331" s="24" t="n">
        <x:v>330</x:v>
      </x:c>
      <x:c r="B331" s="24" t="str">
        <x:v>TSM2-L-035</x:v>
      </x:c>
      <x:c r="C331" s="24" t="str">
        <x:v>Siswa TSM2 L-035</x:v>
      </x:c>
      <x:c r="D331" s="24" t="str">
        <x:v>TSM / Teknik Sepeda Motor</x:v>
      </x:c>
      <x:c r="E331" s="24" t="str">
        <x:v>TSM 2</x:v>
      </x:c>
      <x:c r="F331" s="24" t="str">
        <x:v>Laki-laki</x:v>
      </x:c>
      <x:c r="G331" s="24" t="str">
        <x:v>Tidak minat</x:v>
      </x:c>
      <x:c r="H331" s="26" t="n">
        <x:f>Probabilitas!$C$4*INDEX(Probabilitas!$C$10:$C$11,MATCH(D331,Probabilitas!$A$10:$A$11,0))*INDEX(Probabilitas!$C$16:$C$22,MATCH(E331,Probabilitas!$A$16:$A$22,0))*INDEX(Probabilitas!$C$27:$C$28,MATCH(F331,Probabilitas!$A$27:$A$28,0))</x:f>
        <x:v>0.0000043025662753556825</x:v>
      </x:c>
      <x:c r="I331" s="26" t="n">
        <x:f>Probabilitas!$C$5*INDEX(Probabilitas!$E$10:$E$11,MATCH(D331,Probabilitas!$A$10:$A$11,0))*INDEX(Probabilitas!$E$16:$E$22,MATCH(E331,Probabilitas!$A$16:$A$22,0))*INDEX(Probabilitas!$E$27:$E$28,MATCH(F331,Probabilitas!$A$27:$A$28,0))</x:f>
        <x:v>0.14651049047689044</x:v>
      </x:c>
      <x:c r="J331" s="26" t="n">
        <x:f>IFERROR(H331/(H331+I331),0)</x:f>
        <x:v>0.000029366087792159474</x:v>
      </x:c>
      <x:c r="K331" s="26" t="n">
        <x:f>IFERROR(I331/(H331+I331),0)</x:f>
        <x:v>0.999970633912208</x:v>
      </x:c>
      <x:c r="L331" s="24" t="str">
        <x:f>IF(J331&gt;=K331,"Minat","Tidak minat")</x:f>
        <x:v>Tidak minat</x:v>
      </x:c>
      <x:c r="M331" s="24" t="str">
        <x:f>IF(L331=G331,"Sesuai label latih","Berbeda dari label latih")</x:f>
        <x:v>Sesuai label latih</x:v>
      </x:c>
    </x:row>
    <x:row r="332">
      <x:c r="A332" s="24" t="n">
        <x:v>331</x:v>
      </x:c>
      <x:c r="B332" s="24" t="str">
        <x:v>TSM2-L-036</x:v>
      </x:c>
      <x:c r="C332" s="24" t="str">
        <x:v>Siswa TSM2 L-036</x:v>
      </x:c>
      <x:c r="D332" s="24" t="str">
        <x:v>TSM / Teknik Sepeda Motor</x:v>
      </x:c>
      <x:c r="E332" s="24" t="str">
        <x:v>TSM 2</x:v>
      </x:c>
      <x:c r="F332" s="24" t="str">
        <x:v>Laki-laki</x:v>
      </x:c>
      <x:c r="G332" s="24" t="str">
        <x:v>Tidak minat</x:v>
      </x:c>
      <x:c r="H332" s="26" t="n">
        <x:f>Probabilitas!$C$4*INDEX(Probabilitas!$C$10:$C$11,MATCH(D332,Probabilitas!$A$10:$A$11,0))*INDEX(Probabilitas!$C$16:$C$22,MATCH(E332,Probabilitas!$A$16:$A$22,0))*INDEX(Probabilitas!$C$27:$C$28,MATCH(F332,Probabilitas!$A$27:$A$28,0))</x:f>
        <x:v>0.0000043025662753556825</x:v>
      </x:c>
      <x:c r="I332" s="26" t="n">
        <x:f>Probabilitas!$C$5*INDEX(Probabilitas!$E$10:$E$11,MATCH(D332,Probabilitas!$A$10:$A$11,0))*INDEX(Probabilitas!$E$16:$E$22,MATCH(E332,Probabilitas!$A$16:$A$22,0))*INDEX(Probabilitas!$E$27:$E$28,MATCH(F332,Probabilitas!$A$27:$A$28,0))</x:f>
        <x:v>0.14651049047689044</x:v>
      </x:c>
      <x:c r="J332" s="26" t="n">
        <x:f>IFERROR(H332/(H332+I332),0)</x:f>
        <x:v>0.000029366087792159474</x:v>
      </x:c>
      <x:c r="K332" s="26" t="n">
        <x:f>IFERROR(I332/(H332+I332),0)</x:f>
        <x:v>0.999970633912208</x:v>
      </x:c>
      <x:c r="L332" s="24" t="str">
        <x:f>IF(J332&gt;=K332,"Minat","Tidak minat")</x:f>
        <x:v>Tidak minat</x:v>
      </x:c>
      <x:c r="M332" s="24" t="str">
        <x:f>IF(L332=G332,"Sesuai label latih","Berbeda dari label latih")</x:f>
        <x:v>Sesuai label latih</x:v>
      </x:c>
    </x:row>
    <x:row r="333">
      <x:c r="A333" s="24" t="n">
        <x:v>332</x:v>
      </x:c>
      <x:c r="B333" s="24" t="str">
        <x:v>TSM2-L-037</x:v>
      </x:c>
      <x:c r="C333" s="24" t="str">
        <x:v>Siswa TSM2 L-037</x:v>
      </x:c>
      <x:c r="D333" s="24" t="str">
        <x:v>TSM / Teknik Sepeda Motor</x:v>
      </x:c>
      <x:c r="E333" s="24" t="str">
        <x:v>TSM 2</x:v>
      </x:c>
      <x:c r="F333" s="24" t="str">
        <x:v>Laki-laki</x:v>
      </x:c>
      <x:c r="G333" s="24" t="str">
        <x:v>Tidak minat</x:v>
      </x:c>
      <x:c r="H333" s="26" t="n">
        <x:f>Probabilitas!$C$4*INDEX(Probabilitas!$C$10:$C$11,MATCH(D333,Probabilitas!$A$10:$A$11,0))*INDEX(Probabilitas!$C$16:$C$22,MATCH(E333,Probabilitas!$A$16:$A$22,0))*INDEX(Probabilitas!$C$27:$C$28,MATCH(F333,Probabilitas!$A$27:$A$28,0))</x:f>
        <x:v>0.0000043025662753556825</x:v>
      </x:c>
      <x:c r="I333" s="26" t="n">
        <x:f>Probabilitas!$C$5*INDEX(Probabilitas!$E$10:$E$11,MATCH(D333,Probabilitas!$A$10:$A$11,0))*INDEX(Probabilitas!$E$16:$E$22,MATCH(E333,Probabilitas!$A$16:$A$22,0))*INDEX(Probabilitas!$E$27:$E$28,MATCH(F333,Probabilitas!$A$27:$A$28,0))</x:f>
        <x:v>0.14651049047689044</x:v>
      </x:c>
      <x:c r="J333" s="26" t="n">
        <x:f>IFERROR(H333/(H333+I333),0)</x:f>
        <x:v>0.000029366087792159474</x:v>
      </x:c>
      <x:c r="K333" s="26" t="n">
        <x:f>IFERROR(I333/(H333+I333),0)</x:f>
        <x:v>0.999970633912208</x:v>
      </x:c>
      <x:c r="L333" s="24" t="str">
        <x:f>IF(J333&gt;=K333,"Minat","Tidak minat")</x:f>
        <x:v>Tidak minat</x:v>
      </x:c>
      <x:c r="M333" s="24" t="str">
        <x:f>IF(L333=G333,"Sesuai label latih","Berbeda dari label latih")</x:f>
        <x:v>Sesuai label latih</x:v>
      </x:c>
    </x:row>
    <x:row r="334">
      <x:c r="A334" s="24" t="n">
        <x:v>333</x:v>
      </x:c>
      <x:c r="B334" s="24" t="str">
        <x:v>TSM2-L-038</x:v>
      </x:c>
      <x:c r="C334" s="24" t="str">
        <x:v>Siswa TSM2 L-038</x:v>
      </x:c>
      <x:c r="D334" s="24" t="str">
        <x:v>TSM / Teknik Sepeda Motor</x:v>
      </x:c>
      <x:c r="E334" s="24" t="str">
        <x:v>TSM 2</x:v>
      </x:c>
      <x:c r="F334" s="24" t="str">
        <x:v>Laki-laki</x:v>
      </x:c>
      <x:c r="G334" s="24" t="str">
        <x:v>Tidak minat</x:v>
      </x:c>
      <x:c r="H334" s="26" t="n">
        <x:f>Probabilitas!$C$4*INDEX(Probabilitas!$C$10:$C$11,MATCH(D334,Probabilitas!$A$10:$A$11,0))*INDEX(Probabilitas!$C$16:$C$22,MATCH(E334,Probabilitas!$A$16:$A$22,0))*INDEX(Probabilitas!$C$27:$C$28,MATCH(F334,Probabilitas!$A$27:$A$28,0))</x:f>
        <x:v>0.0000043025662753556825</x:v>
      </x:c>
      <x:c r="I334" s="26" t="n">
        <x:f>Probabilitas!$C$5*INDEX(Probabilitas!$E$10:$E$11,MATCH(D334,Probabilitas!$A$10:$A$11,0))*INDEX(Probabilitas!$E$16:$E$22,MATCH(E334,Probabilitas!$A$16:$A$22,0))*INDEX(Probabilitas!$E$27:$E$28,MATCH(F334,Probabilitas!$A$27:$A$28,0))</x:f>
        <x:v>0.14651049047689044</x:v>
      </x:c>
      <x:c r="J334" s="26" t="n">
        <x:f>IFERROR(H334/(H334+I334),0)</x:f>
        <x:v>0.000029366087792159474</x:v>
      </x:c>
      <x:c r="K334" s="26" t="n">
        <x:f>IFERROR(I334/(H334+I334),0)</x:f>
        <x:v>0.999970633912208</x:v>
      </x:c>
      <x:c r="L334" s="24" t="str">
        <x:f>IF(J334&gt;=K334,"Minat","Tidak minat")</x:f>
        <x:v>Tidak minat</x:v>
      </x:c>
      <x:c r="M334" s="24" t="str">
        <x:f>IF(L334=G334,"Sesuai label latih","Berbeda dari label latih")</x:f>
        <x:v>Sesuai label latih</x:v>
      </x:c>
    </x:row>
    <x:row r="335">
      <x:c r="A335" s="24" t="n">
        <x:v>334</x:v>
      </x:c>
      <x:c r="B335" s="24" t="str">
        <x:v>TSM2-L-039</x:v>
      </x:c>
      <x:c r="C335" s="24" t="str">
        <x:v>Siswa TSM2 L-039</x:v>
      </x:c>
      <x:c r="D335" s="24" t="str">
        <x:v>TSM / Teknik Sepeda Motor</x:v>
      </x:c>
      <x:c r="E335" s="24" t="str">
        <x:v>TSM 2</x:v>
      </x:c>
      <x:c r="F335" s="24" t="str">
        <x:v>Laki-laki</x:v>
      </x:c>
      <x:c r="G335" s="24" t="str">
        <x:v>Tidak minat</x:v>
      </x:c>
      <x:c r="H335" s="26" t="n">
        <x:f>Probabilitas!$C$4*INDEX(Probabilitas!$C$10:$C$11,MATCH(D335,Probabilitas!$A$10:$A$11,0))*INDEX(Probabilitas!$C$16:$C$22,MATCH(E335,Probabilitas!$A$16:$A$22,0))*INDEX(Probabilitas!$C$27:$C$28,MATCH(F335,Probabilitas!$A$27:$A$28,0))</x:f>
        <x:v>0.0000043025662753556825</x:v>
      </x:c>
      <x:c r="I335" s="26" t="n">
        <x:f>Probabilitas!$C$5*INDEX(Probabilitas!$E$10:$E$11,MATCH(D335,Probabilitas!$A$10:$A$11,0))*INDEX(Probabilitas!$E$16:$E$22,MATCH(E335,Probabilitas!$A$16:$A$22,0))*INDEX(Probabilitas!$E$27:$E$28,MATCH(F335,Probabilitas!$A$27:$A$28,0))</x:f>
        <x:v>0.14651049047689044</x:v>
      </x:c>
      <x:c r="J335" s="26" t="n">
        <x:f>IFERROR(H335/(H335+I335),0)</x:f>
        <x:v>0.000029366087792159474</x:v>
      </x:c>
      <x:c r="K335" s="26" t="n">
        <x:f>IFERROR(I335/(H335+I335),0)</x:f>
        <x:v>0.999970633912208</x:v>
      </x:c>
      <x:c r="L335" s="24" t="str">
        <x:f>IF(J335&gt;=K335,"Minat","Tidak minat")</x:f>
        <x:v>Tidak minat</x:v>
      </x:c>
      <x:c r="M335" s="24" t="str">
        <x:f>IF(L335=G335,"Sesuai label latih","Berbeda dari label latih")</x:f>
        <x:v>Sesuai label latih</x:v>
      </x:c>
    </x:row>
    <x:row r="336">
      <x:c r="A336" s="24" t="n">
        <x:v>335</x:v>
      </x:c>
      <x:c r="B336" s="24" t="str">
        <x:v>TSM2-L-040</x:v>
      </x:c>
      <x:c r="C336" s="24" t="str">
        <x:v>Siswa TSM2 L-040</x:v>
      </x:c>
      <x:c r="D336" s="24" t="str">
        <x:v>TSM / Teknik Sepeda Motor</x:v>
      </x:c>
      <x:c r="E336" s="24" t="str">
        <x:v>TSM 2</x:v>
      </x:c>
      <x:c r="F336" s="24" t="str">
        <x:v>Laki-laki</x:v>
      </x:c>
      <x:c r="G336" s="24" t="str">
        <x:v>Tidak minat</x:v>
      </x:c>
      <x:c r="H336" s="26" t="n">
        <x:f>Probabilitas!$C$4*INDEX(Probabilitas!$C$10:$C$11,MATCH(D336,Probabilitas!$A$10:$A$11,0))*INDEX(Probabilitas!$C$16:$C$22,MATCH(E336,Probabilitas!$A$16:$A$22,0))*INDEX(Probabilitas!$C$27:$C$28,MATCH(F336,Probabilitas!$A$27:$A$28,0))</x:f>
        <x:v>0.0000043025662753556825</x:v>
      </x:c>
      <x:c r="I336" s="26" t="n">
        <x:f>Probabilitas!$C$5*INDEX(Probabilitas!$E$10:$E$11,MATCH(D336,Probabilitas!$A$10:$A$11,0))*INDEX(Probabilitas!$E$16:$E$22,MATCH(E336,Probabilitas!$A$16:$A$22,0))*INDEX(Probabilitas!$E$27:$E$28,MATCH(F336,Probabilitas!$A$27:$A$28,0))</x:f>
        <x:v>0.14651049047689044</x:v>
      </x:c>
      <x:c r="J336" s="26" t="n">
        <x:f>IFERROR(H336/(H336+I336),0)</x:f>
        <x:v>0.000029366087792159474</x:v>
      </x:c>
      <x:c r="K336" s="26" t="n">
        <x:f>IFERROR(I336/(H336+I336),0)</x:f>
        <x:v>0.999970633912208</x:v>
      </x:c>
      <x:c r="L336" s="24" t="str">
        <x:f>IF(J336&gt;=K336,"Minat","Tidak minat")</x:f>
        <x:v>Tidak minat</x:v>
      </x:c>
      <x:c r="M336" s="24" t="str">
        <x:f>IF(L336=G336,"Sesuai label latih","Berbeda dari label latih")</x:f>
        <x:v>Sesuai label latih</x:v>
      </x:c>
    </x:row>
    <x:row r="337">
      <x:c r="A337" s="24" t="n">
        <x:v>336</x:v>
      </x:c>
      <x:c r="B337" s="24" t="str">
        <x:v>TSM2-L-041</x:v>
      </x:c>
      <x:c r="C337" s="24" t="str">
        <x:v>Siswa TSM2 L-041</x:v>
      </x:c>
      <x:c r="D337" s="24" t="str">
        <x:v>TSM / Teknik Sepeda Motor</x:v>
      </x:c>
      <x:c r="E337" s="24" t="str">
        <x:v>TSM 2</x:v>
      </x:c>
      <x:c r="F337" s="24" t="str">
        <x:v>Laki-laki</x:v>
      </x:c>
      <x:c r="G337" s="24" t="str">
        <x:v>Tidak minat</x:v>
      </x:c>
      <x:c r="H337" s="26" t="n">
        <x:f>Probabilitas!$C$4*INDEX(Probabilitas!$C$10:$C$11,MATCH(D337,Probabilitas!$A$10:$A$11,0))*INDEX(Probabilitas!$C$16:$C$22,MATCH(E337,Probabilitas!$A$16:$A$22,0))*INDEX(Probabilitas!$C$27:$C$28,MATCH(F337,Probabilitas!$A$27:$A$28,0))</x:f>
        <x:v>0.0000043025662753556825</x:v>
      </x:c>
      <x:c r="I337" s="26" t="n">
        <x:f>Probabilitas!$C$5*INDEX(Probabilitas!$E$10:$E$11,MATCH(D337,Probabilitas!$A$10:$A$11,0))*INDEX(Probabilitas!$E$16:$E$22,MATCH(E337,Probabilitas!$A$16:$A$22,0))*INDEX(Probabilitas!$E$27:$E$28,MATCH(F337,Probabilitas!$A$27:$A$28,0))</x:f>
        <x:v>0.14651049047689044</x:v>
      </x:c>
      <x:c r="J337" s="26" t="n">
        <x:f>IFERROR(H337/(H337+I337),0)</x:f>
        <x:v>0.000029366087792159474</x:v>
      </x:c>
      <x:c r="K337" s="26" t="n">
        <x:f>IFERROR(I337/(H337+I337),0)</x:f>
        <x:v>0.999970633912208</x:v>
      </x:c>
      <x:c r="L337" s="24" t="str">
        <x:f>IF(J337&gt;=K337,"Minat","Tidak minat")</x:f>
        <x:v>Tidak minat</x:v>
      </x:c>
      <x:c r="M337" s="24" t="str">
        <x:f>IF(L337=G337,"Sesuai label latih","Berbeda dari label latih")</x:f>
        <x:v>Sesuai label latih</x:v>
      </x:c>
    </x:row>
    <x:row r="338">
      <x:c r="A338" s="24" t="n">
        <x:v>337</x:v>
      </x:c>
      <x:c r="B338" s="24" t="str">
        <x:v>TSM2-L-042</x:v>
      </x:c>
      <x:c r="C338" s="24" t="str">
        <x:v>Siswa TSM2 L-042</x:v>
      </x:c>
      <x:c r="D338" s="24" t="str">
        <x:v>TSM / Teknik Sepeda Motor</x:v>
      </x:c>
      <x:c r="E338" s="24" t="str">
        <x:v>TSM 2</x:v>
      </x:c>
      <x:c r="F338" s="24" t="str">
        <x:v>Laki-laki</x:v>
      </x:c>
      <x:c r="G338" s="24" t="str">
        <x:v>Tidak minat</x:v>
      </x:c>
      <x:c r="H338" s="26" t="n">
        <x:f>Probabilitas!$C$4*INDEX(Probabilitas!$C$10:$C$11,MATCH(D338,Probabilitas!$A$10:$A$11,0))*INDEX(Probabilitas!$C$16:$C$22,MATCH(E338,Probabilitas!$A$16:$A$22,0))*INDEX(Probabilitas!$C$27:$C$28,MATCH(F338,Probabilitas!$A$27:$A$28,0))</x:f>
        <x:v>0.0000043025662753556825</x:v>
      </x:c>
      <x:c r="I338" s="26" t="n">
        <x:f>Probabilitas!$C$5*INDEX(Probabilitas!$E$10:$E$11,MATCH(D338,Probabilitas!$A$10:$A$11,0))*INDEX(Probabilitas!$E$16:$E$22,MATCH(E338,Probabilitas!$A$16:$A$22,0))*INDEX(Probabilitas!$E$27:$E$28,MATCH(F338,Probabilitas!$A$27:$A$28,0))</x:f>
        <x:v>0.14651049047689044</x:v>
      </x:c>
      <x:c r="J338" s="26" t="n">
        <x:f>IFERROR(H338/(H338+I338),0)</x:f>
        <x:v>0.000029366087792159474</x:v>
      </x:c>
      <x:c r="K338" s="26" t="n">
        <x:f>IFERROR(I338/(H338+I338),0)</x:f>
        <x:v>0.999970633912208</x:v>
      </x:c>
      <x:c r="L338" s="24" t="str">
        <x:f>IF(J338&gt;=K338,"Minat","Tidak minat")</x:f>
        <x:v>Tidak minat</x:v>
      </x:c>
      <x:c r="M338" s="24" t="str">
        <x:f>IF(L338=G338,"Sesuai label latih","Berbeda dari label latih")</x:f>
        <x:v>Sesuai label latih</x:v>
      </x:c>
    </x:row>
    <x:row r="339">
      <x:c r="A339" s="24" t="n">
        <x:v>338</x:v>
      </x:c>
      <x:c r="B339" s="24" t="str">
        <x:v>TSM2-L-043</x:v>
      </x:c>
      <x:c r="C339" s="24" t="str">
        <x:v>Siswa TSM2 L-043</x:v>
      </x:c>
      <x:c r="D339" s="24" t="str">
        <x:v>TSM / Teknik Sepeda Motor</x:v>
      </x:c>
      <x:c r="E339" s="24" t="str">
        <x:v>TSM 2</x:v>
      </x:c>
      <x:c r="F339" s="24" t="str">
        <x:v>Laki-laki</x:v>
      </x:c>
      <x:c r="G339" s="24" t="str">
        <x:v>Tidak minat</x:v>
      </x:c>
      <x:c r="H339" s="26" t="n">
        <x:f>Probabilitas!$C$4*INDEX(Probabilitas!$C$10:$C$11,MATCH(D339,Probabilitas!$A$10:$A$11,0))*INDEX(Probabilitas!$C$16:$C$22,MATCH(E339,Probabilitas!$A$16:$A$22,0))*INDEX(Probabilitas!$C$27:$C$28,MATCH(F339,Probabilitas!$A$27:$A$28,0))</x:f>
        <x:v>0.0000043025662753556825</x:v>
      </x:c>
      <x:c r="I339" s="26" t="n">
        <x:f>Probabilitas!$C$5*INDEX(Probabilitas!$E$10:$E$11,MATCH(D339,Probabilitas!$A$10:$A$11,0))*INDEX(Probabilitas!$E$16:$E$22,MATCH(E339,Probabilitas!$A$16:$A$22,0))*INDEX(Probabilitas!$E$27:$E$28,MATCH(F339,Probabilitas!$A$27:$A$28,0))</x:f>
        <x:v>0.14651049047689044</x:v>
      </x:c>
      <x:c r="J339" s="26" t="n">
        <x:f>IFERROR(H339/(H339+I339),0)</x:f>
        <x:v>0.000029366087792159474</x:v>
      </x:c>
      <x:c r="K339" s="26" t="n">
        <x:f>IFERROR(I339/(H339+I339),0)</x:f>
        <x:v>0.999970633912208</x:v>
      </x:c>
      <x:c r="L339" s="24" t="str">
        <x:f>IF(J339&gt;=K339,"Minat","Tidak minat")</x:f>
        <x:v>Tidak minat</x:v>
      </x:c>
      <x:c r="M339" s="24" t="str">
        <x:f>IF(L339=G339,"Sesuai label latih","Berbeda dari label latih")</x:f>
        <x:v>Sesuai label latih</x:v>
      </x:c>
    </x:row>
    <x:row r="340">
      <x:c r="A340" s="24" t="n">
        <x:v>339</x:v>
      </x:c>
      <x:c r="B340" s="24" t="str">
        <x:v>TSM2-L-044</x:v>
      </x:c>
      <x:c r="C340" s="24" t="str">
        <x:v>Siswa TSM2 L-044</x:v>
      </x:c>
      <x:c r="D340" s="24" t="str">
        <x:v>TSM / Teknik Sepeda Motor</x:v>
      </x:c>
      <x:c r="E340" s="24" t="str">
        <x:v>TSM 2</x:v>
      </x:c>
      <x:c r="F340" s="24" t="str">
        <x:v>Laki-laki</x:v>
      </x:c>
      <x:c r="G340" s="24" t="str">
        <x:v>Tidak minat</x:v>
      </x:c>
      <x:c r="H340" s="26" t="n">
        <x:f>Probabilitas!$C$4*INDEX(Probabilitas!$C$10:$C$11,MATCH(D340,Probabilitas!$A$10:$A$11,0))*INDEX(Probabilitas!$C$16:$C$22,MATCH(E340,Probabilitas!$A$16:$A$22,0))*INDEX(Probabilitas!$C$27:$C$28,MATCH(F340,Probabilitas!$A$27:$A$28,0))</x:f>
        <x:v>0.0000043025662753556825</x:v>
      </x:c>
      <x:c r="I340" s="26" t="n">
        <x:f>Probabilitas!$C$5*INDEX(Probabilitas!$E$10:$E$11,MATCH(D340,Probabilitas!$A$10:$A$11,0))*INDEX(Probabilitas!$E$16:$E$22,MATCH(E340,Probabilitas!$A$16:$A$22,0))*INDEX(Probabilitas!$E$27:$E$28,MATCH(F340,Probabilitas!$A$27:$A$28,0))</x:f>
        <x:v>0.14651049047689044</x:v>
      </x:c>
      <x:c r="J340" s="26" t="n">
        <x:f>IFERROR(H340/(H340+I340),0)</x:f>
        <x:v>0.000029366087792159474</x:v>
      </x:c>
      <x:c r="K340" s="26" t="n">
        <x:f>IFERROR(I340/(H340+I340),0)</x:f>
        <x:v>0.999970633912208</x:v>
      </x:c>
      <x:c r="L340" s="24" t="str">
        <x:f>IF(J340&gt;=K340,"Minat","Tidak minat")</x:f>
        <x:v>Tidak minat</x:v>
      </x:c>
      <x:c r="M340" s="24" t="str">
        <x:f>IF(L340=G340,"Sesuai label latih","Berbeda dari label latih")</x:f>
        <x:v>Sesuai label latih</x:v>
      </x:c>
    </x:row>
    <x:row r="341">
      <x:c r="A341" s="24" t="n">
        <x:v>340</x:v>
      </x:c>
      <x:c r="B341" s="24" t="str">
        <x:v>TSM2-L-045</x:v>
      </x:c>
      <x:c r="C341" s="24" t="str">
        <x:v>Siswa TSM2 L-045</x:v>
      </x:c>
      <x:c r="D341" s="24" t="str">
        <x:v>TSM / Teknik Sepeda Motor</x:v>
      </x:c>
      <x:c r="E341" s="24" t="str">
        <x:v>TSM 2</x:v>
      </x:c>
      <x:c r="F341" s="24" t="str">
        <x:v>Laki-laki</x:v>
      </x:c>
      <x:c r="G341" s="24" t="str">
        <x:v>Tidak minat</x:v>
      </x:c>
      <x:c r="H341" s="26" t="n">
        <x:f>Probabilitas!$C$4*INDEX(Probabilitas!$C$10:$C$11,MATCH(D341,Probabilitas!$A$10:$A$11,0))*INDEX(Probabilitas!$C$16:$C$22,MATCH(E341,Probabilitas!$A$16:$A$22,0))*INDEX(Probabilitas!$C$27:$C$28,MATCH(F341,Probabilitas!$A$27:$A$28,0))</x:f>
        <x:v>0.0000043025662753556825</x:v>
      </x:c>
      <x:c r="I341" s="26" t="n">
        <x:f>Probabilitas!$C$5*INDEX(Probabilitas!$E$10:$E$11,MATCH(D341,Probabilitas!$A$10:$A$11,0))*INDEX(Probabilitas!$E$16:$E$22,MATCH(E341,Probabilitas!$A$16:$A$22,0))*INDEX(Probabilitas!$E$27:$E$28,MATCH(F341,Probabilitas!$A$27:$A$28,0))</x:f>
        <x:v>0.14651049047689044</x:v>
      </x:c>
      <x:c r="J341" s="26" t="n">
        <x:f>IFERROR(H341/(H341+I341),0)</x:f>
        <x:v>0.000029366087792159474</x:v>
      </x:c>
      <x:c r="K341" s="26" t="n">
        <x:f>IFERROR(I341/(H341+I341),0)</x:f>
        <x:v>0.999970633912208</x:v>
      </x:c>
      <x:c r="L341" s="24" t="str">
        <x:f>IF(J341&gt;=K341,"Minat","Tidak minat")</x:f>
        <x:v>Tidak minat</x:v>
      </x:c>
      <x:c r="M341" s="24" t="str">
        <x:f>IF(L341=G341,"Sesuai label latih","Berbeda dari label latih")</x:f>
        <x:v>Sesuai label latih</x:v>
      </x:c>
    </x:row>
    <x:row r="342">
      <x:c r="A342" s="24" t="n">
        <x:v>341</x:v>
      </x:c>
      <x:c r="B342" s="24" t="str">
        <x:v>TSM2-L-046</x:v>
      </x:c>
      <x:c r="C342" s="24" t="str">
        <x:v>Siswa TSM2 L-046</x:v>
      </x:c>
      <x:c r="D342" s="24" t="str">
        <x:v>TSM / Teknik Sepeda Motor</x:v>
      </x:c>
      <x:c r="E342" s="24" t="str">
        <x:v>TSM 2</x:v>
      </x:c>
      <x:c r="F342" s="24" t="str">
        <x:v>Laki-laki</x:v>
      </x:c>
      <x:c r="G342" s="24" t="str">
        <x:v>Tidak minat</x:v>
      </x:c>
      <x:c r="H342" s="26" t="n">
        <x:f>Probabilitas!$C$4*INDEX(Probabilitas!$C$10:$C$11,MATCH(D342,Probabilitas!$A$10:$A$11,0))*INDEX(Probabilitas!$C$16:$C$22,MATCH(E342,Probabilitas!$A$16:$A$22,0))*INDEX(Probabilitas!$C$27:$C$28,MATCH(F342,Probabilitas!$A$27:$A$28,0))</x:f>
        <x:v>0.0000043025662753556825</x:v>
      </x:c>
      <x:c r="I342" s="26" t="n">
        <x:f>Probabilitas!$C$5*INDEX(Probabilitas!$E$10:$E$11,MATCH(D342,Probabilitas!$A$10:$A$11,0))*INDEX(Probabilitas!$E$16:$E$22,MATCH(E342,Probabilitas!$A$16:$A$22,0))*INDEX(Probabilitas!$E$27:$E$28,MATCH(F342,Probabilitas!$A$27:$A$28,0))</x:f>
        <x:v>0.14651049047689044</x:v>
      </x:c>
      <x:c r="J342" s="26" t="n">
        <x:f>IFERROR(H342/(H342+I342),0)</x:f>
        <x:v>0.000029366087792159474</x:v>
      </x:c>
      <x:c r="K342" s="26" t="n">
        <x:f>IFERROR(I342/(H342+I342),0)</x:f>
        <x:v>0.999970633912208</x:v>
      </x:c>
      <x:c r="L342" s="24" t="str">
        <x:f>IF(J342&gt;=K342,"Minat","Tidak minat")</x:f>
        <x:v>Tidak minat</x:v>
      </x:c>
      <x:c r="M342" s="24" t="str">
        <x:f>IF(L342=G342,"Sesuai label latih","Berbeda dari label latih")</x:f>
        <x:v>Sesuai label latih</x:v>
      </x:c>
    </x:row>
    <x:row r="343">
      <x:c r="A343" s="24" t="n">
        <x:v>342</x:v>
      </x:c>
      <x:c r="B343" s="24" t="str">
        <x:v>TSM2-L-047</x:v>
      </x:c>
      <x:c r="C343" s="24" t="str">
        <x:v>Siswa TSM2 L-047</x:v>
      </x:c>
      <x:c r="D343" s="24" t="str">
        <x:v>TSM / Teknik Sepeda Motor</x:v>
      </x:c>
      <x:c r="E343" s="24" t="str">
        <x:v>TSM 2</x:v>
      </x:c>
      <x:c r="F343" s="24" t="str">
        <x:v>Laki-laki</x:v>
      </x:c>
      <x:c r="G343" s="24" t="str">
        <x:v>Tidak minat</x:v>
      </x:c>
      <x:c r="H343" s="26" t="n">
        <x:f>Probabilitas!$C$4*INDEX(Probabilitas!$C$10:$C$11,MATCH(D343,Probabilitas!$A$10:$A$11,0))*INDEX(Probabilitas!$C$16:$C$22,MATCH(E343,Probabilitas!$A$16:$A$22,0))*INDEX(Probabilitas!$C$27:$C$28,MATCH(F343,Probabilitas!$A$27:$A$28,0))</x:f>
        <x:v>0.0000043025662753556825</x:v>
      </x:c>
      <x:c r="I343" s="26" t="n">
        <x:f>Probabilitas!$C$5*INDEX(Probabilitas!$E$10:$E$11,MATCH(D343,Probabilitas!$A$10:$A$11,0))*INDEX(Probabilitas!$E$16:$E$22,MATCH(E343,Probabilitas!$A$16:$A$22,0))*INDEX(Probabilitas!$E$27:$E$28,MATCH(F343,Probabilitas!$A$27:$A$28,0))</x:f>
        <x:v>0.14651049047689044</x:v>
      </x:c>
      <x:c r="J343" s="26" t="n">
        <x:f>IFERROR(H343/(H343+I343),0)</x:f>
        <x:v>0.000029366087792159474</x:v>
      </x:c>
      <x:c r="K343" s="26" t="n">
        <x:f>IFERROR(I343/(H343+I343),0)</x:f>
        <x:v>0.999970633912208</x:v>
      </x:c>
      <x:c r="L343" s="24" t="str">
        <x:f>IF(J343&gt;=K343,"Minat","Tidak minat")</x:f>
        <x:v>Tidak minat</x:v>
      </x:c>
      <x:c r="M343" s="24" t="str">
        <x:f>IF(L343=G343,"Sesuai label latih","Berbeda dari label latih")</x:f>
        <x:v>Sesuai label latih</x:v>
      </x:c>
    </x:row>
    <x:row r="344">
      <x:c r="A344" s="24" t="n">
        <x:v>343</x:v>
      </x:c>
      <x:c r="B344" s="24" t="str">
        <x:v>TSM2-L-048</x:v>
      </x:c>
      <x:c r="C344" s="24" t="str">
        <x:v>Siswa TSM2 L-048</x:v>
      </x:c>
      <x:c r="D344" s="24" t="str">
        <x:v>TSM / Teknik Sepeda Motor</x:v>
      </x:c>
      <x:c r="E344" s="24" t="str">
        <x:v>TSM 2</x:v>
      </x:c>
      <x:c r="F344" s="24" t="str">
        <x:v>Laki-laki</x:v>
      </x:c>
      <x:c r="G344" s="24" t="str">
        <x:v>Tidak minat</x:v>
      </x:c>
      <x:c r="H344" s="26" t="n">
        <x:f>Probabilitas!$C$4*INDEX(Probabilitas!$C$10:$C$11,MATCH(D344,Probabilitas!$A$10:$A$11,0))*INDEX(Probabilitas!$C$16:$C$22,MATCH(E344,Probabilitas!$A$16:$A$22,0))*INDEX(Probabilitas!$C$27:$C$28,MATCH(F344,Probabilitas!$A$27:$A$28,0))</x:f>
        <x:v>0.0000043025662753556825</x:v>
      </x:c>
      <x:c r="I344" s="26" t="n">
        <x:f>Probabilitas!$C$5*INDEX(Probabilitas!$E$10:$E$11,MATCH(D344,Probabilitas!$A$10:$A$11,0))*INDEX(Probabilitas!$E$16:$E$22,MATCH(E344,Probabilitas!$A$16:$A$22,0))*INDEX(Probabilitas!$E$27:$E$28,MATCH(F344,Probabilitas!$A$27:$A$28,0))</x:f>
        <x:v>0.14651049047689044</x:v>
      </x:c>
      <x:c r="J344" s="26" t="n">
        <x:f>IFERROR(H344/(H344+I344),0)</x:f>
        <x:v>0.000029366087792159474</x:v>
      </x:c>
      <x:c r="K344" s="26" t="n">
        <x:f>IFERROR(I344/(H344+I344),0)</x:f>
        <x:v>0.999970633912208</x:v>
      </x:c>
      <x:c r="L344" s="24" t="str">
        <x:f>IF(J344&gt;=K344,"Minat","Tidak minat")</x:f>
        <x:v>Tidak minat</x:v>
      </x:c>
      <x:c r="M344" s="24" t="str">
        <x:f>IF(L344=G344,"Sesuai label latih","Berbeda dari label latih")</x:f>
        <x:v>Sesuai label latih</x:v>
      </x:c>
    </x:row>
    <x:row r="345">
      <x:c r="A345" s="24" t="n">
        <x:v>344</x:v>
      </x:c>
      <x:c r="B345" s="24" t="str">
        <x:v>TSM2-L-049</x:v>
      </x:c>
      <x:c r="C345" s="24" t="str">
        <x:v>Siswa TSM2 L-049</x:v>
      </x:c>
      <x:c r="D345" s="24" t="str">
        <x:v>TSM / Teknik Sepeda Motor</x:v>
      </x:c>
      <x:c r="E345" s="24" t="str">
        <x:v>TSM 2</x:v>
      </x:c>
      <x:c r="F345" s="24" t="str">
        <x:v>Laki-laki</x:v>
      </x:c>
      <x:c r="G345" s="24" t="str">
        <x:v>Tidak minat</x:v>
      </x:c>
      <x:c r="H345" s="26" t="n">
        <x:f>Probabilitas!$C$4*INDEX(Probabilitas!$C$10:$C$11,MATCH(D345,Probabilitas!$A$10:$A$11,0))*INDEX(Probabilitas!$C$16:$C$22,MATCH(E345,Probabilitas!$A$16:$A$22,0))*INDEX(Probabilitas!$C$27:$C$28,MATCH(F345,Probabilitas!$A$27:$A$28,0))</x:f>
        <x:v>0.0000043025662753556825</x:v>
      </x:c>
      <x:c r="I345" s="26" t="n">
        <x:f>Probabilitas!$C$5*INDEX(Probabilitas!$E$10:$E$11,MATCH(D345,Probabilitas!$A$10:$A$11,0))*INDEX(Probabilitas!$E$16:$E$22,MATCH(E345,Probabilitas!$A$16:$A$22,0))*INDEX(Probabilitas!$E$27:$E$28,MATCH(F345,Probabilitas!$A$27:$A$28,0))</x:f>
        <x:v>0.14651049047689044</x:v>
      </x:c>
      <x:c r="J345" s="26" t="n">
        <x:f>IFERROR(H345/(H345+I345),0)</x:f>
        <x:v>0.000029366087792159474</x:v>
      </x:c>
      <x:c r="K345" s="26" t="n">
        <x:f>IFERROR(I345/(H345+I345),0)</x:f>
        <x:v>0.999970633912208</x:v>
      </x:c>
      <x:c r="L345" s="24" t="str">
        <x:f>IF(J345&gt;=K345,"Minat","Tidak minat")</x:f>
        <x:v>Tidak minat</x:v>
      </x:c>
      <x:c r="M345" s="24" t="str">
        <x:f>IF(L345=G345,"Sesuai label latih","Berbeda dari label latih")</x:f>
        <x:v>Sesuai label latih</x:v>
      </x:c>
    </x:row>
    <x:row r="346">
      <x:c r="A346" s="24" t="n">
        <x:v>345</x:v>
      </x:c>
      <x:c r="B346" s="24" t="str">
        <x:v>TSM2-L-050</x:v>
      </x:c>
      <x:c r="C346" s="24" t="str">
        <x:v>Siswa TSM2 L-050</x:v>
      </x:c>
      <x:c r="D346" s="24" t="str">
        <x:v>TSM / Teknik Sepeda Motor</x:v>
      </x:c>
      <x:c r="E346" s="24" t="str">
        <x:v>TSM 2</x:v>
      </x:c>
      <x:c r="F346" s="24" t="str">
        <x:v>Laki-laki</x:v>
      </x:c>
      <x:c r="G346" s="24" t="str">
        <x:v>Tidak minat</x:v>
      </x:c>
      <x:c r="H346" s="26" t="n">
        <x:f>Probabilitas!$C$4*INDEX(Probabilitas!$C$10:$C$11,MATCH(D346,Probabilitas!$A$10:$A$11,0))*INDEX(Probabilitas!$C$16:$C$22,MATCH(E346,Probabilitas!$A$16:$A$22,0))*INDEX(Probabilitas!$C$27:$C$28,MATCH(F346,Probabilitas!$A$27:$A$28,0))</x:f>
        <x:v>0.0000043025662753556825</x:v>
      </x:c>
      <x:c r="I346" s="26" t="n">
        <x:f>Probabilitas!$C$5*INDEX(Probabilitas!$E$10:$E$11,MATCH(D346,Probabilitas!$A$10:$A$11,0))*INDEX(Probabilitas!$E$16:$E$22,MATCH(E346,Probabilitas!$A$16:$A$22,0))*INDEX(Probabilitas!$E$27:$E$28,MATCH(F346,Probabilitas!$A$27:$A$28,0))</x:f>
        <x:v>0.14651049047689044</x:v>
      </x:c>
      <x:c r="J346" s="26" t="n">
        <x:f>IFERROR(H346/(H346+I346),0)</x:f>
        <x:v>0.000029366087792159474</x:v>
      </x:c>
      <x:c r="K346" s="26" t="n">
        <x:f>IFERROR(I346/(H346+I346),0)</x:f>
        <x:v>0.999970633912208</x:v>
      </x:c>
      <x:c r="L346" s="24" t="str">
        <x:f>IF(J346&gt;=K346,"Minat","Tidak minat")</x:f>
        <x:v>Tidak minat</x:v>
      </x:c>
      <x:c r="M346" s="24" t="str">
        <x:f>IF(L346=G346,"Sesuai label latih","Berbeda dari label latih")</x:f>
        <x:v>Sesuai label latih</x:v>
      </x:c>
    </x:row>
    <x:row r="347">
      <x:c r="A347" s="24" t="n">
        <x:v>346</x:v>
      </x:c>
      <x:c r="B347" s="24" t="str">
        <x:v>TSM2-L-051</x:v>
      </x:c>
      <x:c r="C347" s="24" t="str">
        <x:v>Siswa TSM2 L-051</x:v>
      </x:c>
      <x:c r="D347" s="24" t="str">
        <x:v>TSM / Teknik Sepeda Motor</x:v>
      </x:c>
      <x:c r="E347" s="24" t="str">
        <x:v>TSM 2</x:v>
      </x:c>
      <x:c r="F347" s="24" t="str">
        <x:v>Laki-laki</x:v>
      </x:c>
      <x:c r="G347" s="24" t="str">
        <x:v>Tidak minat</x:v>
      </x:c>
      <x:c r="H347" s="26" t="n">
        <x:f>Probabilitas!$C$4*INDEX(Probabilitas!$C$10:$C$11,MATCH(D347,Probabilitas!$A$10:$A$11,0))*INDEX(Probabilitas!$C$16:$C$22,MATCH(E347,Probabilitas!$A$16:$A$22,0))*INDEX(Probabilitas!$C$27:$C$28,MATCH(F347,Probabilitas!$A$27:$A$28,0))</x:f>
        <x:v>0.0000043025662753556825</x:v>
      </x:c>
      <x:c r="I347" s="26" t="n">
        <x:f>Probabilitas!$C$5*INDEX(Probabilitas!$E$10:$E$11,MATCH(D347,Probabilitas!$A$10:$A$11,0))*INDEX(Probabilitas!$E$16:$E$22,MATCH(E347,Probabilitas!$A$16:$A$22,0))*INDEX(Probabilitas!$E$27:$E$28,MATCH(F347,Probabilitas!$A$27:$A$28,0))</x:f>
        <x:v>0.14651049047689044</x:v>
      </x:c>
      <x:c r="J347" s="26" t="n">
        <x:f>IFERROR(H347/(H347+I347),0)</x:f>
        <x:v>0.000029366087792159474</x:v>
      </x:c>
      <x:c r="K347" s="26" t="n">
        <x:f>IFERROR(I347/(H347+I347),0)</x:f>
        <x:v>0.999970633912208</x:v>
      </x:c>
      <x:c r="L347" s="24" t="str">
        <x:f>IF(J347&gt;=K347,"Minat","Tidak minat")</x:f>
        <x:v>Tidak minat</x:v>
      </x:c>
      <x:c r="M347" s="24" t="str">
        <x:f>IF(L347=G347,"Sesuai label latih","Berbeda dari label latih")</x:f>
        <x:v>Sesuai label latih</x:v>
      </x:c>
    </x:row>
    <x:row r="348">
      <x:c r="A348" s="24" t="n">
        <x:v>347</x:v>
      </x:c>
      <x:c r="B348" s="24" t="str">
        <x:v>TSM2-L-052</x:v>
      </x:c>
      <x:c r="C348" s="24" t="str">
        <x:v>Siswa TSM2 L-052</x:v>
      </x:c>
      <x:c r="D348" s="24" t="str">
        <x:v>TSM / Teknik Sepeda Motor</x:v>
      </x:c>
      <x:c r="E348" s="24" t="str">
        <x:v>TSM 2</x:v>
      </x:c>
      <x:c r="F348" s="24" t="str">
        <x:v>Laki-laki</x:v>
      </x:c>
      <x:c r="G348" s="24" t="str">
        <x:v>Tidak minat</x:v>
      </x:c>
      <x:c r="H348" s="26" t="n">
        <x:f>Probabilitas!$C$4*INDEX(Probabilitas!$C$10:$C$11,MATCH(D348,Probabilitas!$A$10:$A$11,0))*INDEX(Probabilitas!$C$16:$C$22,MATCH(E348,Probabilitas!$A$16:$A$22,0))*INDEX(Probabilitas!$C$27:$C$28,MATCH(F348,Probabilitas!$A$27:$A$28,0))</x:f>
        <x:v>0.0000043025662753556825</x:v>
      </x:c>
      <x:c r="I348" s="26" t="n">
        <x:f>Probabilitas!$C$5*INDEX(Probabilitas!$E$10:$E$11,MATCH(D348,Probabilitas!$A$10:$A$11,0))*INDEX(Probabilitas!$E$16:$E$22,MATCH(E348,Probabilitas!$A$16:$A$22,0))*INDEX(Probabilitas!$E$27:$E$28,MATCH(F348,Probabilitas!$A$27:$A$28,0))</x:f>
        <x:v>0.14651049047689044</x:v>
      </x:c>
      <x:c r="J348" s="26" t="n">
        <x:f>IFERROR(H348/(H348+I348),0)</x:f>
        <x:v>0.000029366087792159474</x:v>
      </x:c>
      <x:c r="K348" s="26" t="n">
        <x:f>IFERROR(I348/(H348+I348),0)</x:f>
        <x:v>0.999970633912208</x:v>
      </x:c>
      <x:c r="L348" s="24" t="str">
        <x:f>IF(J348&gt;=K348,"Minat","Tidak minat")</x:f>
        <x:v>Tidak minat</x:v>
      </x:c>
      <x:c r="M348" s="24" t="str">
        <x:f>IF(L348=G348,"Sesuai label latih","Berbeda dari label latih")</x:f>
        <x:v>Sesuai label latih</x:v>
      </x:c>
    </x:row>
    <x:row r="349">
      <x:c r="A349" s="24" t="n">
        <x:v>348</x:v>
      </x:c>
      <x:c r="B349" s="24" t="str">
        <x:v>TSM2-L-053</x:v>
      </x:c>
      <x:c r="C349" s="24" t="str">
        <x:v>Siswa TSM2 L-053</x:v>
      </x:c>
      <x:c r="D349" s="24" t="str">
        <x:v>TSM / Teknik Sepeda Motor</x:v>
      </x:c>
      <x:c r="E349" s="24" t="str">
        <x:v>TSM 2</x:v>
      </x:c>
      <x:c r="F349" s="24" t="str">
        <x:v>Laki-laki</x:v>
      </x:c>
      <x:c r="G349" s="24" t="str">
        <x:v>Tidak minat</x:v>
      </x:c>
      <x:c r="H349" s="26" t="n">
        <x:f>Probabilitas!$C$4*INDEX(Probabilitas!$C$10:$C$11,MATCH(D349,Probabilitas!$A$10:$A$11,0))*INDEX(Probabilitas!$C$16:$C$22,MATCH(E349,Probabilitas!$A$16:$A$22,0))*INDEX(Probabilitas!$C$27:$C$28,MATCH(F349,Probabilitas!$A$27:$A$28,0))</x:f>
        <x:v>0.0000043025662753556825</x:v>
      </x:c>
      <x:c r="I349" s="26" t="n">
        <x:f>Probabilitas!$C$5*INDEX(Probabilitas!$E$10:$E$11,MATCH(D349,Probabilitas!$A$10:$A$11,0))*INDEX(Probabilitas!$E$16:$E$22,MATCH(E349,Probabilitas!$A$16:$A$22,0))*INDEX(Probabilitas!$E$27:$E$28,MATCH(F349,Probabilitas!$A$27:$A$28,0))</x:f>
        <x:v>0.14651049047689044</x:v>
      </x:c>
      <x:c r="J349" s="26" t="n">
        <x:f>IFERROR(H349/(H349+I349),0)</x:f>
        <x:v>0.000029366087792159474</x:v>
      </x:c>
      <x:c r="K349" s="26" t="n">
        <x:f>IFERROR(I349/(H349+I349),0)</x:f>
        <x:v>0.999970633912208</x:v>
      </x:c>
      <x:c r="L349" s="24" t="str">
        <x:f>IF(J349&gt;=K349,"Minat","Tidak minat")</x:f>
        <x:v>Tidak minat</x:v>
      </x:c>
      <x:c r="M349" s="24" t="str">
        <x:f>IF(L349=G349,"Sesuai label latih","Berbeda dari label latih")</x:f>
        <x:v>Sesuai label latih</x:v>
      </x:c>
    </x:row>
    <x:row r="350">
      <x:c r="A350" s="24" t="n">
        <x:v>349</x:v>
      </x:c>
      <x:c r="B350" s="24" t="str">
        <x:v>TSM2-L-054</x:v>
      </x:c>
      <x:c r="C350" s="24" t="str">
        <x:v>Siswa TSM2 L-054</x:v>
      </x:c>
      <x:c r="D350" s="24" t="str">
        <x:v>TSM / Teknik Sepeda Motor</x:v>
      </x:c>
      <x:c r="E350" s="24" t="str">
        <x:v>TSM 2</x:v>
      </x:c>
      <x:c r="F350" s="24" t="str">
        <x:v>Laki-laki</x:v>
      </x:c>
      <x:c r="G350" s="24" t="str">
        <x:v>Tidak minat</x:v>
      </x:c>
      <x:c r="H350" s="26" t="n">
        <x:f>Probabilitas!$C$4*INDEX(Probabilitas!$C$10:$C$11,MATCH(D350,Probabilitas!$A$10:$A$11,0))*INDEX(Probabilitas!$C$16:$C$22,MATCH(E350,Probabilitas!$A$16:$A$22,0))*INDEX(Probabilitas!$C$27:$C$28,MATCH(F350,Probabilitas!$A$27:$A$28,0))</x:f>
        <x:v>0.0000043025662753556825</x:v>
      </x:c>
      <x:c r="I350" s="26" t="n">
        <x:f>Probabilitas!$C$5*INDEX(Probabilitas!$E$10:$E$11,MATCH(D350,Probabilitas!$A$10:$A$11,0))*INDEX(Probabilitas!$E$16:$E$22,MATCH(E350,Probabilitas!$A$16:$A$22,0))*INDEX(Probabilitas!$E$27:$E$28,MATCH(F350,Probabilitas!$A$27:$A$28,0))</x:f>
        <x:v>0.14651049047689044</x:v>
      </x:c>
      <x:c r="J350" s="26" t="n">
        <x:f>IFERROR(H350/(H350+I350),0)</x:f>
        <x:v>0.000029366087792159474</x:v>
      </x:c>
      <x:c r="K350" s="26" t="n">
        <x:f>IFERROR(I350/(H350+I350),0)</x:f>
        <x:v>0.999970633912208</x:v>
      </x:c>
      <x:c r="L350" s="24" t="str">
        <x:f>IF(J350&gt;=K350,"Minat","Tidak minat")</x:f>
        <x:v>Tidak minat</x:v>
      </x:c>
      <x:c r="M350" s="24" t="str">
        <x:f>IF(L350=G350,"Sesuai label latih","Berbeda dari label latih")</x:f>
        <x:v>Sesuai label latih</x:v>
      </x:c>
    </x:row>
    <x:row r="351">
      <x:c r="A351" s="24" t="n">
        <x:v>350</x:v>
      </x:c>
      <x:c r="B351" s="24" t="str">
        <x:v>TSM2-L-055</x:v>
      </x:c>
      <x:c r="C351" s="24" t="str">
        <x:v>Siswa TSM2 L-055</x:v>
      </x:c>
      <x:c r="D351" s="24" t="str">
        <x:v>TSM / Teknik Sepeda Motor</x:v>
      </x:c>
      <x:c r="E351" s="24" t="str">
        <x:v>TSM 2</x:v>
      </x:c>
      <x:c r="F351" s="24" t="str">
        <x:v>Laki-laki</x:v>
      </x:c>
      <x:c r="G351" s="24" t="str">
        <x:v>Tidak minat</x:v>
      </x:c>
      <x:c r="H351" s="26" t="n">
        <x:f>Probabilitas!$C$4*INDEX(Probabilitas!$C$10:$C$11,MATCH(D351,Probabilitas!$A$10:$A$11,0))*INDEX(Probabilitas!$C$16:$C$22,MATCH(E351,Probabilitas!$A$16:$A$22,0))*INDEX(Probabilitas!$C$27:$C$28,MATCH(F351,Probabilitas!$A$27:$A$28,0))</x:f>
        <x:v>0.0000043025662753556825</x:v>
      </x:c>
      <x:c r="I351" s="26" t="n">
        <x:f>Probabilitas!$C$5*INDEX(Probabilitas!$E$10:$E$11,MATCH(D351,Probabilitas!$A$10:$A$11,0))*INDEX(Probabilitas!$E$16:$E$22,MATCH(E351,Probabilitas!$A$16:$A$22,0))*INDEX(Probabilitas!$E$27:$E$28,MATCH(F351,Probabilitas!$A$27:$A$28,0))</x:f>
        <x:v>0.14651049047689044</x:v>
      </x:c>
      <x:c r="J351" s="26" t="n">
        <x:f>IFERROR(H351/(H351+I351),0)</x:f>
        <x:v>0.000029366087792159474</x:v>
      </x:c>
      <x:c r="K351" s="26" t="n">
        <x:f>IFERROR(I351/(H351+I351),0)</x:f>
        <x:v>0.999970633912208</x:v>
      </x:c>
      <x:c r="L351" s="24" t="str">
        <x:f>IF(J351&gt;=K351,"Minat","Tidak minat")</x:f>
        <x:v>Tidak minat</x:v>
      </x:c>
      <x:c r="M351" s="24" t="str">
        <x:f>IF(L351=G351,"Sesuai label latih","Berbeda dari label latih")</x:f>
        <x:v>Sesuai label latih</x:v>
      </x:c>
    </x:row>
    <x:row r="352">
      <x:c r="A352" s="24" t="n">
        <x:v>351</x:v>
      </x:c>
      <x:c r="B352" s="24" t="str">
        <x:v>TSM2-L-056</x:v>
      </x:c>
      <x:c r="C352" s="24" t="str">
        <x:v>Siswa TSM2 L-056</x:v>
      </x:c>
      <x:c r="D352" s="24" t="str">
        <x:v>TSM / Teknik Sepeda Motor</x:v>
      </x:c>
      <x:c r="E352" s="24" t="str">
        <x:v>TSM 2</x:v>
      </x:c>
      <x:c r="F352" s="24" t="str">
        <x:v>Laki-laki</x:v>
      </x:c>
      <x:c r="G352" s="24" t="str">
        <x:v>Tidak minat</x:v>
      </x:c>
      <x:c r="H352" s="26" t="n">
        <x:f>Probabilitas!$C$4*INDEX(Probabilitas!$C$10:$C$11,MATCH(D352,Probabilitas!$A$10:$A$11,0))*INDEX(Probabilitas!$C$16:$C$22,MATCH(E352,Probabilitas!$A$16:$A$22,0))*INDEX(Probabilitas!$C$27:$C$28,MATCH(F352,Probabilitas!$A$27:$A$28,0))</x:f>
        <x:v>0.0000043025662753556825</x:v>
      </x:c>
      <x:c r="I352" s="26" t="n">
        <x:f>Probabilitas!$C$5*INDEX(Probabilitas!$E$10:$E$11,MATCH(D352,Probabilitas!$A$10:$A$11,0))*INDEX(Probabilitas!$E$16:$E$22,MATCH(E352,Probabilitas!$A$16:$A$22,0))*INDEX(Probabilitas!$E$27:$E$28,MATCH(F352,Probabilitas!$A$27:$A$28,0))</x:f>
        <x:v>0.14651049047689044</x:v>
      </x:c>
      <x:c r="J352" s="26" t="n">
        <x:f>IFERROR(H352/(H352+I352),0)</x:f>
        <x:v>0.000029366087792159474</x:v>
      </x:c>
      <x:c r="K352" s="26" t="n">
        <x:f>IFERROR(I352/(H352+I352),0)</x:f>
        <x:v>0.999970633912208</x:v>
      </x:c>
      <x:c r="L352" s="24" t="str">
        <x:f>IF(J352&gt;=K352,"Minat","Tidak minat")</x:f>
        <x:v>Tidak minat</x:v>
      </x:c>
      <x:c r="M352" s="24" t="str">
        <x:f>IF(L352=G352,"Sesuai label latih","Berbeda dari label latih")</x:f>
        <x:v>Sesuai label latih</x:v>
      </x:c>
    </x:row>
    <x:row r="353">
      <x:c r="A353" s="24" t="n">
        <x:v>352</x:v>
      </x:c>
      <x:c r="B353" s="24" t="str">
        <x:v>TSM2-L-057</x:v>
      </x:c>
      <x:c r="C353" s="24" t="str">
        <x:v>Siswa TSM2 L-057</x:v>
      </x:c>
      <x:c r="D353" s="24" t="str">
        <x:v>TSM / Teknik Sepeda Motor</x:v>
      </x:c>
      <x:c r="E353" s="24" t="str">
        <x:v>TSM 2</x:v>
      </x:c>
      <x:c r="F353" s="24" t="str">
        <x:v>Laki-laki</x:v>
      </x:c>
      <x:c r="G353" s="24" t="str">
        <x:v>Tidak minat</x:v>
      </x:c>
      <x:c r="H353" s="26" t="n">
        <x:f>Probabilitas!$C$4*INDEX(Probabilitas!$C$10:$C$11,MATCH(D353,Probabilitas!$A$10:$A$11,0))*INDEX(Probabilitas!$C$16:$C$22,MATCH(E353,Probabilitas!$A$16:$A$22,0))*INDEX(Probabilitas!$C$27:$C$28,MATCH(F353,Probabilitas!$A$27:$A$28,0))</x:f>
        <x:v>0.0000043025662753556825</x:v>
      </x:c>
      <x:c r="I353" s="26" t="n">
        <x:f>Probabilitas!$C$5*INDEX(Probabilitas!$E$10:$E$11,MATCH(D353,Probabilitas!$A$10:$A$11,0))*INDEX(Probabilitas!$E$16:$E$22,MATCH(E353,Probabilitas!$A$16:$A$22,0))*INDEX(Probabilitas!$E$27:$E$28,MATCH(F353,Probabilitas!$A$27:$A$28,0))</x:f>
        <x:v>0.14651049047689044</x:v>
      </x:c>
      <x:c r="J353" s="26" t="n">
        <x:f>IFERROR(H353/(H353+I353),0)</x:f>
        <x:v>0.000029366087792159474</x:v>
      </x:c>
      <x:c r="K353" s="26" t="n">
        <x:f>IFERROR(I353/(H353+I353),0)</x:f>
        <x:v>0.999970633912208</x:v>
      </x:c>
      <x:c r="L353" s="24" t="str">
        <x:f>IF(J353&gt;=K353,"Minat","Tidak minat")</x:f>
        <x:v>Tidak minat</x:v>
      </x:c>
      <x:c r="M353" s="24" t="str">
        <x:f>IF(L353=G353,"Sesuai label latih","Berbeda dari label latih")</x:f>
        <x:v>Sesuai label latih</x:v>
      </x:c>
    </x:row>
    <x:row r="354">
      <x:c r="A354" s="24" t="n">
        <x:v>353</x:v>
      </x:c>
      <x:c r="B354" s="24" t="str">
        <x:v>TSM2-L-058</x:v>
      </x:c>
      <x:c r="C354" s="24" t="str">
        <x:v>Siswa TSM2 L-058</x:v>
      </x:c>
      <x:c r="D354" s="24" t="str">
        <x:v>TSM / Teknik Sepeda Motor</x:v>
      </x:c>
      <x:c r="E354" s="24" t="str">
        <x:v>TSM 2</x:v>
      </x:c>
      <x:c r="F354" s="24" t="str">
        <x:v>Laki-laki</x:v>
      </x:c>
      <x:c r="G354" s="24" t="str">
        <x:v>Tidak minat</x:v>
      </x:c>
      <x:c r="H354" s="26" t="n">
        <x:f>Probabilitas!$C$4*INDEX(Probabilitas!$C$10:$C$11,MATCH(D354,Probabilitas!$A$10:$A$11,0))*INDEX(Probabilitas!$C$16:$C$22,MATCH(E354,Probabilitas!$A$16:$A$22,0))*INDEX(Probabilitas!$C$27:$C$28,MATCH(F354,Probabilitas!$A$27:$A$28,0))</x:f>
        <x:v>0.0000043025662753556825</x:v>
      </x:c>
      <x:c r="I354" s="26" t="n">
        <x:f>Probabilitas!$C$5*INDEX(Probabilitas!$E$10:$E$11,MATCH(D354,Probabilitas!$A$10:$A$11,0))*INDEX(Probabilitas!$E$16:$E$22,MATCH(E354,Probabilitas!$A$16:$A$22,0))*INDEX(Probabilitas!$E$27:$E$28,MATCH(F354,Probabilitas!$A$27:$A$28,0))</x:f>
        <x:v>0.14651049047689044</x:v>
      </x:c>
      <x:c r="J354" s="26" t="n">
        <x:f>IFERROR(H354/(H354+I354),0)</x:f>
        <x:v>0.000029366087792159474</x:v>
      </x:c>
      <x:c r="K354" s="26" t="n">
        <x:f>IFERROR(I354/(H354+I354),0)</x:f>
        <x:v>0.999970633912208</x:v>
      </x:c>
      <x:c r="L354" s="24" t="str">
        <x:f>IF(J354&gt;=K354,"Minat","Tidak minat")</x:f>
        <x:v>Tidak minat</x:v>
      </x:c>
      <x:c r="M354" s="24" t="str">
        <x:f>IF(L354=G354,"Sesuai label latih","Berbeda dari label latih")</x:f>
        <x:v>Sesuai label latih</x:v>
      </x:c>
    </x:row>
    <x:row r="355">
      <x:c r="A355" s="24" t="n">
        <x:v>354</x:v>
      </x:c>
      <x:c r="B355" s="24" t="str">
        <x:v>TSM2-L-059</x:v>
      </x:c>
      <x:c r="C355" s="24" t="str">
        <x:v>Siswa TSM2 L-059</x:v>
      </x:c>
      <x:c r="D355" s="24" t="str">
        <x:v>TSM / Teknik Sepeda Motor</x:v>
      </x:c>
      <x:c r="E355" s="24" t="str">
        <x:v>TSM 2</x:v>
      </x:c>
      <x:c r="F355" s="24" t="str">
        <x:v>Laki-laki</x:v>
      </x:c>
      <x:c r="G355" s="24" t="str">
        <x:v>Tidak minat</x:v>
      </x:c>
      <x:c r="H355" s="26" t="n">
        <x:f>Probabilitas!$C$4*INDEX(Probabilitas!$C$10:$C$11,MATCH(D355,Probabilitas!$A$10:$A$11,0))*INDEX(Probabilitas!$C$16:$C$22,MATCH(E355,Probabilitas!$A$16:$A$22,0))*INDEX(Probabilitas!$C$27:$C$28,MATCH(F355,Probabilitas!$A$27:$A$28,0))</x:f>
        <x:v>0.0000043025662753556825</x:v>
      </x:c>
      <x:c r="I355" s="26" t="n">
        <x:f>Probabilitas!$C$5*INDEX(Probabilitas!$E$10:$E$11,MATCH(D355,Probabilitas!$A$10:$A$11,0))*INDEX(Probabilitas!$E$16:$E$22,MATCH(E355,Probabilitas!$A$16:$A$22,0))*INDEX(Probabilitas!$E$27:$E$28,MATCH(F355,Probabilitas!$A$27:$A$28,0))</x:f>
        <x:v>0.14651049047689044</x:v>
      </x:c>
      <x:c r="J355" s="26" t="n">
        <x:f>IFERROR(H355/(H355+I355),0)</x:f>
        <x:v>0.000029366087792159474</x:v>
      </x:c>
      <x:c r="K355" s="26" t="n">
        <x:f>IFERROR(I355/(H355+I355),0)</x:f>
        <x:v>0.999970633912208</x:v>
      </x:c>
      <x:c r="L355" s="24" t="str">
        <x:f>IF(J355&gt;=K355,"Minat","Tidak minat")</x:f>
        <x:v>Tidak minat</x:v>
      </x:c>
      <x:c r="M355" s="24" t="str">
        <x:f>IF(L355=G355,"Sesuai label latih","Berbeda dari label latih")</x:f>
        <x:v>Sesuai label latih</x:v>
      </x:c>
    </x:row>
    <x:row r="356">
      <x:c r="A356" s="24" t="n">
        <x:v>355</x:v>
      </x:c>
      <x:c r="B356" s="24" t="str">
        <x:v>TSM2-L-060</x:v>
      </x:c>
      <x:c r="C356" s="24" t="str">
        <x:v>Siswa TSM2 L-060</x:v>
      </x:c>
      <x:c r="D356" s="24" t="str">
        <x:v>TSM / Teknik Sepeda Motor</x:v>
      </x:c>
      <x:c r="E356" s="24" t="str">
        <x:v>TSM 2</x:v>
      </x:c>
      <x:c r="F356" s="24" t="str">
        <x:v>Laki-laki</x:v>
      </x:c>
      <x:c r="G356" s="24" t="str">
        <x:v>Tidak minat</x:v>
      </x:c>
      <x:c r="H356" s="26" t="n">
        <x:f>Probabilitas!$C$4*INDEX(Probabilitas!$C$10:$C$11,MATCH(D356,Probabilitas!$A$10:$A$11,0))*INDEX(Probabilitas!$C$16:$C$22,MATCH(E356,Probabilitas!$A$16:$A$22,0))*INDEX(Probabilitas!$C$27:$C$28,MATCH(F356,Probabilitas!$A$27:$A$28,0))</x:f>
        <x:v>0.0000043025662753556825</x:v>
      </x:c>
      <x:c r="I356" s="26" t="n">
        <x:f>Probabilitas!$C$5*INDEX(Probabilitas!$E$10:$E$11,MATCH(D356,Probabilitas!$A$10:$A$11,0))*INDEX(Probabilitas!$E$16:$E$22,MATCH(E356,Probabilitas!$A$16:$A$22,0))*INDEX(Probabilitas!$E$27:$E$28,MATCH(F356,Probabilitas!$A$27:$A$28,0))</x:f>
        <x:v>0.14651049047689044</x:v>
      </x:c>
      <x:c r="J356" s="26" t="n">
        <x:f>IFERROR(H356/(H356+I356),0)</x:f>
        <x:v>0.000029366087792159474</x:v>
      </x:c>
      <x:c r="K356" s="26" t="n">
        <x:f>IFERROR(I356/(H356+I356),0)</x:f>
        <x:v>0.999970633912208</x:v>
      </x:c>
      <x:c r="L356" s="24" t="str">
        <x:f>IF(J356&gt;=K356,"Minat","Tidak minat")</x:f>
        <x:v>Tidak minat</x:v>
      </x:c>
      <x:c r="M356" s="24" t="str">
        <x:f>IF(L356=G356,"Sesuai label latih","Berbeda dari label latih")</x:f>
        <x:v>Sesuai label latih</x:v>
      </x:c>
    </x:row>
    <x:row r="357">
      <x:c r="A357" s="24" t="n">
        <x:v>356</x:v>
      </x:c>
      <x:c r="B357" s="24" t="str">
        <x:v>TSM2-L-061</x:v>
      </x:c>
      <x:c r="C357" s="24" t="str">
        <x:v>Siswa TSM2 L-061</x:v>
      </x:c>
      <x:c r="D357" s="24" t="str">
        <x:v>TSM / Teknik Sepeda Motor</x:v>
      </x:c>
      <x:c r="E357" s="24" t="str">
        <x:v>TSM 2</x:v>
      </x:c>
      <x:c r="F357" s="24" t="str">
        <x:v>Laki-laki</x:v>
      </x:c>
      <x:c r="G357" s="24" t="str">
        <x:v>Tidak minat</x:v>
      </x:c>
      <x:c r="H357" s="26" t="n">
        <x:f>Probabilitas!$C$4*INDEX(Probabilitas!$C$10:$C$11,MATCH(D357,Probabilitas!$A$10:$A$11,0))*INDEX(Probabilitas!$C$16:$C$22,MATCH(E357,Probabilitas!$A$16:$A$22,0))*INDEX(Probabilitas!$C$27:$C$28,MATCH(F357,Probabilitas!$A$27:$A$28,0))</x:f>
        <x:v>0.0000043025662753556825</x:v>
      </x:c>
      <x:c r="I357" s="26" t="n">
        <x:f>Probabilitas!$C$5*INDEX(Probabilitas!$E$10:$E$11,MATCH(D357,Probabilitas!$A$10:$A$11,0))*INDEX(Probabilitas!$E$16:$E$22,MATCH(E357,Probabilitas!$A$16:$A$22,0))*INDEX(Probabilitas!$E$27:$E$28,MATCH(F357,Probabilitas!$A$27:$A$28,0))</x:f>
        <x:v>0.14651049047689044</x:v>
      </x:c>
      <x:c r="J357" s="26" t="n">
        <x:f>IFERROR(H357/(H357+I357),0)</x:f>
        <x:v>0.000029366087792159474</x:v>
      </x:c>
      <x:c r="K357" s="26" t="n">
        <x:f>IFERROR(I357/(H357+I357),0)</x:f>
        <x:v>0.999970633912208</x:v>
      </x:c>
      <x:c r="L357" s="24" t="str">
        <x:f>IF(J357&gt;=K357,"Minat","Tidak minat")</x:f>
        <x:v>Tidak minat</x:v>
      </x:c>
      <x:c r="M357" s="24" t="str">
        <x:f>IF(L357=G357,"Sesuai label latih","Berbeda dari label latih")</x:f>
        <x:v>Sesuai label latih</x:v>
      </x:c>
    </x:row>
    <x:row r="358">
      <x:c r="A358" s="24" t="n">
        <x:v>357</x:v>
      </x:c>
      <x:c r="B358" s="24" t="str">
        <x:v>TSM2-L-062</x:v>
      </x:c>
      <x:c r="C358" s="24" t="str">
        <x:v>Siswa TSM2 L-062</x:v>
      </x:c>
      <x:c r="D358" s="24" t="str">
        <x:v>TSM / Teknik Sepeda Motor</x:v>
      </x:c>
      <x:c r="E358" s="24" t="str">
        <x:v>TSM 2</x:v>
      </x:c>
      <x:c r="F358" s="24" t="str">
        <x:v>Laki-laki</x:v>
      </x:c>
      <x:c r="G358" s="24" t="str">
        <x:v>Tidak minat</x:v>
      </x:c>
      <x:c r="H358" s="26" t="n">
        <x:f>Probabilitas!$C$4*INDEX(Probabilitas!$C$10:$C$11,MATCH(D358,Probabilitas!$A$10:$A$11,0))*INDEX(Probabilitas!$C$16:$C$22,MATCH(E358,Probabilitas!$A$16:$A$22,0))*INDEX(Probabilitas!$C$27:$C$28,MATCH(F358,Probabilitas!$A$27:$A$28,0))</x:f>
        <x:v>0.0000043025662753556825</x:v>
      </x:c>
      <x:c r="I358" s="26" t="n">
        <x:f>Probabilitas!$C$5*INDEX(Probabilitas!$E$10:$E$11,MATCH(D358,Probabilitas!$A$10:$A$11,0))*INDEX(Probabilitas!$E$16:$E$22,MATCH(E358,Probabilitas!$A$16:$A$22,0))*INDEX(Probabilitas!$E$27:$E$28,MATCH(F358,Probabilitas!$A$27:$A$28,0))</x:f>
        <x:v>0.14651049047689044</x:v>
      </x:c>
      <x:c r="J358" s="26" t="n">
        <x:f>IFERROR(H358/(H358+I358),0)</x:f>
        <x:v>0.000029366087792159474</x:v>
      </x:c>
      <x:c r="K358" s="26" t="n">
        <x:f>IFERROR(I358/(H358+I358),0)</x:f>
        <x:v>0.999970633912208</x:v>
      </x:c>
      <x:c r="L358" s="24" t="str">
        <x:f>IF(J358&gt;=K358,"Minat","Tidak minat")</x:f>
        <x:v>Tidak minat</x:v>
      </x:c>
      <x:c r="M358" s="24" t="str">
        <x:f>IF(L358=G358,"Sesuai label latih","Berbeda dari label latih")</x:f>
        <x:v>Sesuai label latih</x:v>
      </x:c>
    </x:row>
    <x:row r="359">
      <x:c r="A359" s="24" t="n">
        <x:v>358</x:v>
      </x:c>
      <x:c r="B359" s="24" t="str">
        <x:v>TSM2-L-063</x:v>
      </x:c>
      <x:c r="C359" s="24" t="str">
        <x:v>Siswa TSM2 L-063</x:v>
      </x:c>
      <x:c r="D359" s="24" t="str">
        <x:v>TSM / Teknik Sepeda Motor</x:v>
      </x:c>
      <x:c r="E359" s="24" t="str">
        <x:v>TSM 2</x:v>
      </x:c>
      <x:c r="F359" s="24" t="str">
        <x:v>Laki-laki</x:v>
      </x:c>
      <x:c r="G359" s="24" t="str">
        <x:v>Tidak minat</x:v>
      </x:c>
      <x:c r="H359" s="26" t="n">
        <x:f>Probabilitas!$C$4*INDEX(Probabilitas!$C$10:$C$11,MATCH(D359,Probabilitas!$A$10:$A$11,0))*INDEX(Probabilitas!$C$16:$C$22,MATCH(E359,Probabilitas!$A$16:$A$22,0))*INDEX(Probabilitas!$C$27:$C$28,MATCH(F359,Probabilitas!$A$27:$A$28,0))</x:f>
        <x:v>0.0000043025662753556825</x:v>
      </x:c>
      <x:c r="I359" s="26" t="n">
        <x:f>Probabilitas!$C$5*INDEX(Probabilitas!$E$10:$E$11,MATCH(D359,Probabilitas!$A$10:$A$11,0))*INDEX(Probabilitas!$E$16:$E$22,MATCH(E359,Probabilitas!$A$16:$A$22,0))*INDEX(Probabilitas!$E$27:$E$28,MATCH(F359,Probabilitas!$A$27:$A$28,0))</x:f>
        <x:v>0.14651049047689044</x:v>
      </x:c>
      <x:c r="J359" s="26" t="n">
        <x:f>IFERROR(H359/(H359+I359),0)</x:f>
        <x:v>0.000029366087792159474</x:v>
      </x:c>
      <x:c r="K359" s="26" t="n">
        <x:f>IFERROR(I359/(H359+I359),0)</x:f>
        <x:v>0.999970633912208</x:v>
      </x:c>
      <x:c r="L359" s="24" t="str">
        <x:f>IF(J359&gt;=K359,"Minat","Tidak minat")</x:f>
        <x:v>Tidak minat</x:v>
      </x:c>
      <x:c r="M359" s="24" t="str">
        <x:f>IF(L359=G359,"Sesuai label latih","Berbeda dari label latih")</x:f>
        <x:v>Sesuai label latih</x:v>
      </x:c>
    </x:row>
    <x:row r="360">
      <x:c r="A360" s="24" t="n">
        <x:v>359</x:v>
      </x:c>
      <x:c r="B360" s="24" t="str">
        <x:v>TSM2-L-064</x:v>
      </x:c>
      <x:c r="C360" s="24" t="str">
        <x:v>Siswa TSM2 L-064</x:v>
      </x:c>
      <x:c r="D360" s="24" t="str">
        <x:v>TSM / Teknik Sepeda Motor</x:v>
      </x:c>
      <x:c r="E360" s="24" t="str">
        <x:v>TSM 2</x:v>
      </x:c>
      <x:c r="F360" s="24" t="str">
        <x:v>Laki-laki</x:v>
      </x:c>
      <x:c r="G360" s="24" t="str">
        <x:v>Tidak minat</x:v>
      </x:c>
      <x:c r="H360" s="26" t="n">
        <x:f>Probabilitas!$C$4*INDEX(Probabilitas!$C$10:$C$11,MATCH(D360,Probabilitas!$A$10:$A$11,0))*INDEX(Probabilitas!$C$16:$C$22,MATCH(E360,Probabilitas!$A$16:$A$22,0))*INDEX(Probabilitas!$C$27:$C$28,MATCH(F360,Probabilitas!$A$27:$A$28,0))</x:f>
        <x:v>0.0000043025662753556825</x:v>
      </x:c>
      <x:c r="I360" s="26" t="n">
        <x:f>Probabilitas!$C$5*INDEX(Probabilitas!$E$10:$E$11,MATCH(D360,Probabilitas!$A$10:$A$11,0))*INDEX(Probabilitas!$E$16:$E$22,MATCH(E360,Probabilitas!$A$16:$A$22,0))*INDEX(Probabilitas!$E$27:$E$28,MATCH(F360,Probabilitas!$A$27:$A$28,0))</x:f>
        <x:v>0.14651049047689044</x:v>
      </x:c>
      <x:c r="J360" s="26" t="n">
        <x:f>IFERROR(H360/(H360+I360),0)</x:f>
        <x:v>0.000029366087792159474</x:v>
      </x:c>
      <x:c r="K360" s="26" t="n">
        <x:f>IFERROR(I360/(H360+I360),0)</x:f>
        <x:v>0.999970633912208</x:v>
      </x:c>
      <x:c r="L360" s="24" t="str">
        <x:f>IF(J360&gt;=K360,"Minat","Tidak minat")</x:f>
        <x:v>Tidak minat</x:v>
      </x:c>
      <x:c r="M360" s="24" t="str">
        <x:f>IF(L360=G360,"Sesuai label latih","Berbeda dari label latih")</x:f>
        <x:v>Sesuai label latih</x:v>
      </x:c>
    </x:row>
    <x:row r="361">
      <x:c r="A361" s="24" t="n">
        <x:v>360</x:v>
      </x:c>
      <x:c r="B361" s="24" t="str">
        <x:v>TSM2-L-065</x:v>
      </x:c>
      <x:c r="C361" s="24" t="str">
        <x:v>Siswa TSM2 L-065</x:v>
      </x:c>
      <x:c r="D361" s="24" t="str">
        <x:v>TSM / Teknik Sepeda Motor</x:v>
      </x:c>
      <x:c r="E361" s="24" t="str">
        <x:v>TSM 2</x:v>
      </x:c>
      <x:c r="F361" s="24" t="str">
        <x:v>Laki-laki</x:v>
      </x:c>
      <x:c r="G361" s="24" t="str">
        <x:v>Tidak minat</x:v>
      </x:c>
      <x:c r="H361" s="26" t="n">
        <x:f>Probabilitas!$C$4*INDEX(Probabilitas!$C$10:$C$11,MATCH(D361,Probabilitas!$A$10:$A$11,0))*INDEX(Probabilitas!$C$16:$C$22,MATCH(E361,Probabilitas!$A$16:$A$22,0))*INDEX(Probabilitas!$C$27:$C$28,MATCH(F361,Probabilitas!$A$27:$A$28,0))</x:f>
        <x:v>0.0000043025662753556825</x:v>
      </x:c>
      <x:c r="I361" s="26" t="n">
        <x:f>Probabilitas!$C$5*INDEX(Probabilitas!$E$10:$E$11,MATCH(D361,Probabilitas!$A$10:$A$11,0))*INDEX(Probabilitas!$E$16:$E$22,MATCH(E361,Probabilitas!$A$16:$A$22,0))*INDEX(Probabilitas!$E$27:$E$28,MATCH(F361,Probabilitas!$A$27:$A$28,0))</x:f>
        <x:v>0.14651049047689044</x:v>
      </x:c>
      <x:c r="J361" s="26" t="n">
        <x:f>IFERROR(H361/(H361+I361),0)</x:f>
        <x:v>0.000029366087792159474</x:v>
      </x:c>
      <x:c r="K361" s="26" t="n">
        <x:f>IFERROR(I361/(H361+I361),0)</x:f>
        <x:v>0.999970633912208</x:v>
      </x:c>
      <x:c r="L361" s="24" t="str">
        <x:f>IF(J361&gt;=K361,"Minat","Tidak minat")</x:f>
        <x:v>Tidak minat</x:v>
      </x:c>
      <x:c r="M361" s="24" t="str">
        <x:f>IF(L361=G361,"Sesuai label latih","Berbeda dari label latih")</x:f>
        <x:v>Sesuai label latih</x:v>
      </x:c>
    </x:row>
    <x:row r="362">
      <x:c r="A362" s="24" t="n">
        <x:v>361</x:v>
      </x:c>
      <x:c r="B362" s="24" t="str">
        <x:v>TSM2-L-066</x:v>
      </x:c>
      <x:c r="C362" s="24" t="str">
        <x:v>Siswa TSM2 L-066</x:v>
      </x:c>
      <x:c r="D362" s="24" t="str">
        <x:v>TSM / Teknik Sepeda Motor</x:v>
      </x:c>
      <x:c r="E362" s="24" t="str">
        <x:v>TSM 2</x:v>
      </x:c>
      <x:c r="F362" s="24" t="str">
        <x:v>Laki-laki</x:v>
      </x:c>
      <x:c r="G362" s="24" t="str">
        <x:v>Tidak minat</x:v>
      </x:c>
      <x:c r="H362" s="26" t="n">
        <x:f>Probabilitas!$C$4*INDEX(Probabilitas!$C$10:$C$11,MATCH(D362,Probabilitas!$A$10:$A$11,0))*INDEX(Probabilitas!$C$16:$C$22,MATCH(E362,Probabilitas!$A$16:$A$22,0))*INDEX(Probabilitas!$C$27:$C$28,MATCH(F362,Probabilitas!$A$27:$A$28,0))</x:f>
        <x:v>0.0000043025662753556825</x:v>
      </x:c>
      <x:c r="I362" s="26" t="n">
        <x:f>Probabilitas!$C$5*INDEX(Probabilitas!$E$10:$E$11,MATCH(D362,Probabilitas!$A$10:$A$11,0))*INDEX(Probabilitas!$E$16:$E$22,MATCH(E362,Probabilitas!$A$16:$A$22,0))*INDEX(Probabilitas!$E$27:$E$28,MATCH(F362,Probabilitas!$A$27:$A$28,0))</x:f>
        <x:v>0.14651049047689044</x:v>
      </x:c>
      <x:c r="J362" s="26" t="n">
        <x:f>IFERROR(H362/(H362+I362),0)</x:f>
        <x:v>0.000029366087792159474</x:v>
      </x:c>
      <x:c r="K362" s="26" t="n">
        <x:f>IFERROR(I362/(H362+I362),0)</x:f>
        <x:v>0.999970633912208</x:v>
      </x:c>
      <x:c r="L362" s="24" t="str">
        <x:f>IF(J362&gt;=K362,"Minat","Tidak minat")</x:f>
        <x:v>Tidak minat</x:v>
      </x:c>
      <x:c r="M362" s="24" t="str">
        <x:f>IF(L362=G362,"Sesuai label latih","Berbeda dari label latih")</x:f>
        <x:v>Sesuai label latih</x:v>
      </x:c>
    </x:row>
    <x:row r="363">
      <x:c r="A363" s="24" t="n">
        <x:v>362</x:v>
      </x:c>
      <x:c r="B363" s="24" t="str">
        <x:v>TSM2-L-067</x:v>
      </x:c>
      <x:c r="C363" s="24" t="str">
        <x:v>Siswa TSM2 L-067</x:v>
      </x:c>
      <x:c r="D363" s="24" t="str">
        <x:v>TSM / Teknik Sepeda Motor</x:v>
      </x:c>
      <x:c r="E363" s="24" t="str">
        <x:v>TSM 2</x:v>
      </x:c>
      <x:c r="F363" s="24" t="str">
        <x:v>Laki-laki</x:v>
      </x:c>
      <x:c r="G363" s="24" t="str">
        <x:v>Tidak minat</x:v>
      </x:c>
      <x:c r="H363" s="26" t="n">
        <x:f>Probabilitas!$C$4*INDEX(Probabilitas!$C$10:$C$11,MATCH(D363,Probabilitas!$A$10:$A$11,0))*INDEX(Probabilitas!$C$16:$C$22,MATCH(E363,Probabilitas!$A$16:$A$22,0))*INDEX(Probabilitas!$C$27:$C$28,MATCH(F363,Probabilitas!$A$27:$A$28,0))</x:f>
        <x:v>0.0000043025662753556825</x:v>
      </x:c>
      <x:c r="I363" s="26" t="n">
        <x:f>Probabilitas!$C$5*INDEX(Probabilitas!$E$10:$E$11,MATCH(D363,Probabilitas!$A$10:$A$11,0))*INDEX(Probabilitas!$E$16:$E$22,MATCH(E363,Probabilitas!$A$16:$A$22,0))*INDEX(Probabilitas!$E$27:$E$28,MATCH(F363,Probabilitas!$A$27:$A$28,0))</x:f>
        <x:v>0.14651049047689044</x:v>
      </x:c>
      <x:c r="J363" s="26" t="n">
        <x:f>IFERROR(H363/(H363+I363),0)</x:f>
        <x:v>0.000029366087792159474</x:v>
      </x:c>
      <x:c r="K363" s="26" t="n">
        <x:f>IFERROR(I363/(H363+I363),0)</x:f>
        <x:v>0.999970633912208</x:v>
      </x:c>
      <x:c r="L363" s="24" t="str">
        <x:f>IF(J363&gt;=K363,"Minat","Tidak minat")</x:f>
        <x:v>Tidak minat</x:v>
      </x:c>
      <x:c r="M363" s="24" t="str">
        <x:f>IF(L363=G363,"Sesuai label latih","Berbeda dari label latih")</x:f>
        <x:v>Sesuai label latih</x:v>
      </x:c>
    </x:row>
    <x:row r="364">
      <x:c r="A364" s="24" t="n">
        <x:v>363</x:v>
      </x:c>
      <x:c r="B364" s="24" t="str">
        <x:v>TSM2-L-068</x:v>
      </x:c>
      <x:c r="C364" s="24" t="str">
        <x:v>Siswa TSM2 L-068</x:v>
      </x:c>
      <x:c r="D364" s="24" t="str">
        <x:v>TSM / Teknik Sepeda Motor</x:v>
      </x:c>
      <x:c r="E364" s="24" t="str">
        <x:v>TSM 2</x:v>
      </x:c>
      <x:c r="F364" s="24" t="str">
        <x:v>Laki-laki</x:v>
      </x:c>
      <x:c r="G364" s="24" t="str">
        <x:v>Tidak minat</x:v>
      </x:c>
      <x:c r="H364" s="26" t="n">
        <x:f>Probabilitas!$C$4*INDEX(Probabilitas!$C$10:$C$11,MATCH(D364,Probabilitas!$A$10:$A$11,0))*INDEX(Probabilitas!$C$16:$C$22,MATCH(E364,Probabilitas!$A$16:$A$22,0))*INDEX(Probabilitas!$C$27:$C$28,MATCH(F364,Probabilitas!$A$27:$A$28,0))</x:f>
        <x:v>0.0000043025662753556825</x:v>
      </x:c>
      <x:c r="I364" s="26" t="n">
        <x:f>Probabilitas!$C$5*INDEX(Probabilitas!$E$10:$E$11,MATCH(D364,Probabilitas!$A$10:$A$11,0))*INDEX(Probabilitas!$E$16:$E$22,MATCH(E364,Probabilitas!$A$16:$A$22,0))*INDEX(Probabilitas!$E$27:$E$28,MATCH(F364,Probabilitas!$A$27:$A$28,0))</x:f>
        <x:v>0.14651049047689044</x:v>
      </x:c>
      <x:c r="J364" s="26" t="n">
        <x:f>IFERROR(H364/(H364+I364),0)</x:f>
        <x:v>0.000029366087792159474</x:v>
      </x:c>
      <x:c r="K364" s="26" t="n">
        <x:f>IFERROR(I364/(H364+I364),0)</x:f>
        <x:v>0.999970633912208</x:v>
      </x:c>
      <x:c r="L364" s="24" t="str">
        <x:f>IF(J364&gt;=K364,"Minat","Tidak minat")</x:f>
        <x:v>Tidak minat</x:v>
      </x:c>
      <x:c r="M364" s="24" t="str">
        <x:f>IF(L364=G364,"Sesuai label latih","Berbeda dari label latih")</x:f>
        <x:v>Sesuai label latih</x:v>
      </x:c>
    </x:row>
    <x:row r="365">
      <x:c r="A365" s="24" t="n">
        <x:v>364</x:v>
      </x:c>
      <x:c r="B365" s="24" t="str">
        <x:v>TSM2-L-069</x:v>
      </x:c>
      <x:c r="C365" s="24" t="str">
        <x:v>Siswa TSM2 L-069</x:v>
      </x:c>
      <x:c r="D365" s="24" t="str">
        <x:v>TSM / Teknik Sepeda Motor</x:v>
      </x:c>
      <x:c r="E365" s="24" t="str">
        <x:v>TSM 2</x:v>
      </x:c>
      <x:c r="F365" s="24" t="str">
        <x:v>Laki-laki</x:v>
      </x:c>
      <x:c r="G365" s="24" t="str">
        <x:v>Tidak minat</x:v>
      </x:c>
      <x:c r="H365" s="26" t="n">
        <x:f>Probabilitas!$C$4*INDEX(Probabilitas!$C$10:$C$11,MATCH(D365,Probabilitas!$A$10:$A$11,0))*INDEX(Probabilitas!$C$16:$C$22,MATCH(E365,Probabilitas!$A$16:$A$22,0))*INDEX(Probabilitas!$C$27:$C$28,MATCH(F365,Probabilitas!$A$27:$A$28,0))</x:f>
        <x:v>0.0000043025662753556825</x:v>
      </x:c>
      <x:c r="I365" s="26" t="n">
        <x:f>Probabilitas!$C$5*INDEX(Probabilitas!$E$10:$E$11,MATCH(D365,Probabilitas!$A$10:$A$11,0))*INDEX(Probabilitas!$E$16:$E$22,MATCH(E365,Probabilitas!$A$16:$A$22,0))*INDEX(Probabilitas!$E$27:$E$28,MATCH(F365,Probabilitas!$A$27:$A$28,0))</x:f>
        <x:v>0.14651049047689044</x:v>
      </x:c>
      <x:c r="J365" s="26" t="n">
        <x:f>IFERROR(H365/(H365+I365),0)</x:f>
        <x:v>0.000029366087792159474</x:v>
      </x:c>
      <x:c r="K365" s="26" t="n">
        <x:f>IFERROR(I365/(H365+I365),0)</x:f>
        <x:v>0.999970633912208</x:v>
      </x:c>
      <x:c r="L365" s="24" t="str">
        <x:f>IF(J365&gt;=K365,"Minat","Tidak minat")</x:f>
        <x:v>Tidak minat</x:v>
      </x:c>
      <x:c r="M365" s="24" t="str">
        <x:f>IF(L365=G365,"Sesuai label latih","Berbeda dari label latih")</x:f>
        <x:v>Sesuai label latih</x:v>
      </x:c>
    </x:row>
    <x:row r="366">
      <x:c r="A366" s="24" t="n">
        <x:v>365</x:v>
      </x:c>
      <x:c r="B366" s="24" t="str">
        <x:v>TSM2-L-070</x:v>
      </x:c>
      <x:c r="C366" s="24" t="str">
        <x:v>Siswa TSM2 L-070</x:v>
      </x:c>
      <x:c r="D366" s="24" t="str">
        <x:v>TSM / Teknik Sepeda Motor</x:v>
      </x:c>
      <x:c r="E366" s="24" t="str">
        <x:v>TSM 2</x:v>
      </x:c>
      <x:c r="F366" s="24" t="str">
        <x:v>Laki-laki</x:v>
      </x:c>
      <x:c r="G366" s="24" t="str">
        <x:v>Tidak minat</x:v>
      </x:c>
      <x:c r="H366" s="26" t="n">
        <x:f>Probabilitas!$C$4*INDEX(Probabilitas!$C$10:$C$11,MATCH(D366,Probabilitas!$A$10:$A$11,0))*INDEX(Probabilitas!$C$16:$C$22,MATCH(E366,Probabilitas!$A$16:$A$22,0))*INDEX(Probabilitas!$C$27:$C$28,MATCH(F366,Probabilitas!$A$27:$A$28,0))</x:f>
        <x:v>0.0000043025662753556825</x:v>
      </x:c>
      <x:c r="I366" s="26" t="n">
        <x:f>Probabilitas!$C$5*INDEX(Probabilitas!$E$10:$E$11,MATCH(D366,Probabilitas!$A$10:$A$11,0))*INDEX(Probabilitas!$E$16:$E$22,MATCH(E366,Probabilitas!$A$16:$A$22,0))*INDEX(Probabilitas!$E$27:$E$28,MATCH(F366,Probabilitas!$A$27:$A$28,0))</x:f>
        <x:v>0.14651049047689044</x:v>
      </x:c>
      <x:c r="J366" s="26" t="n">
        <x:f>IFERROR(H366/(H366+I366),0)</x:f>
        <x:v>0.000029366087792159474</x:v>
      </x:c>
      <x:c r="K366" s="26" t="n">
        <x:f>IFERROR(I366/(H366+I366),0)</x:f>
        <x:v>0.999970633912208</x:v>
      </x:c>
      <x:c r="L366" s="24" t="str">
        <x:f>IF(J366&gt;=K366,"Minat","Tidak minat")</x:f>
        <x:v>Tidak minat</x:v>
      </x:c>
      <x:c r="M366" s="24" t="str">
        <x:f>IF(L366=G366,"Sesuai label latih","Berbeda dari label latih")</x:f>
        <x:v>Sesuai label latih</x:v>
      </x:c>
    </x:row>
    <x:row r="367">
      <x:c r="A367" s="24" t="n">
        <x:v>366</x:v>
      </x:c>
      <x:c r="B367" s="24" t="str">
        <x:v>TSM2-L-071</x:v>
      </x:c>
      <x:c r="C367" s="24" t="str">
        <x:v>Siswa TSM2 L-071</x:v>
      </x:c>
      <x:c r="D367" s="24" t="str">
        <x:v>TSM / Teknik Sepeda Motor</x:v>
      </x:c>
      <x:c r="E367" s="24" t="str">
        <x:v>TSM 2</x:v>
      </x:c>
      <x:c r="F367" s="24" t="str">
        <x:v>Laki-laki</x:v>
      </x:c>
      <x:c r="G367" s="24" t="str">
        <x:v>Tidak minat</x:v>
      </x:c>
      <x:c r="H367" s="26" t="n">
        <x:f>Probabilitas!$C$4*INDEX(Probabilitas!$C$10:$C$11,MATCH(D367,Probabilitas!$A$10:$A$11,0))*INDEX(Probabilitas!$C$16:$C$22,MATCH(E367,Probabilitas!$A$16:$A$22,0))*INDEX(Probabilitas!$C$27:$C$28,MATCH(F367,Probabilitas!$A$27:$A$28,0))</x:f>
        <x:v>0.0000043025662753556825</x:v>
      </x:c>
      <x:c r="I367" s="26" t="n">
        <x:f>Probabilitas!$C$5*INDEX(Probabilitas!$E$10:$E$11,MATCH(D367,Probabilitas!$A$10:$A$11,0))*INDEX(Probabilitas!$E$16:$E$22,MATCH(E367,Probabilitas!$A$16:$A$22,0))*INDEX(Probabilitas!$E$27:$E$28,MATCH(F367,Probabilitas!$A$27:$A$28,0))</x:f>
        <x:v>0.14651049047689044</x:v>
      </x:c>
      <x:c r="J367" s="26" t="n">
        <x:f>IFERROR(H367/(H367+I367),0)</x:f>
        <x:v>0.000029366087792159474</x:v>
      </x:c>
      <x:c r="K367" s="26" t="n">
        <x:f>IFERROR(I367/(H367+I367),0)</x:f>
        <x:v>0.999970633912208</x:v>
      </x:c>
      <x:c r="L367" s="24" t="str">
        <x:f>IF(J367&gt;=K367,"Minat","Tidak minat")</x:f>
        <x:v>Tidak minat</x:v>
      </x:c>
      <x:c r="M367" s="24" t="str">
        <x:f>IF(L367=G367,"Sesuai label latih","Berbeda dari label latih")</x:f>
        <x:v>Sesuai label latih</x:v>
      </x:c>
    </x:row>
    <x:row r="368">
      <x:c r="A368" s="24" t="n">
        <x:v>367</x:v>
      </x:c>
      <x:c r="B368" s="24" t="str">
        <x:v>TSM2-L-072</x:v>
      </x:c>
      <x:c r="C368" s="24" t="str">
        <x:v>Siswa TSM2 L-072</x:v>
      </x:c>
      <x:c r="D368" s="24" t="str">
        <x:v>TSM / Teknik Sepeda Motor</x:v>
      </x:c>
      <x:c r="E368" s="24" t="str">
        <x:v>TSM 2</x:v>
      </x:c>
      <x:c r="F368" s="24" t="str">
        <x:v>Laki-laki</x:v>
      </x:c>
      <x:c r="G368" s="24" t="str">
        <x:v>Tidak minat</x:v>
      </x:c>
      <x:c r="H368" s="26" t="n">
        <x:f>Probabilitas!$C$4*INDEX(Probabilitas!$C$10:$C$11,MATCH(D368,Probabilitas!$A$10:$A$11,0))*INDEX(Probabilitas!$C$16:$C$22,MATCH(E368,Probabilitas!$A$16:$A$22,0))*INDEX(Probabilitas!$C$27:$C$28,MATCH(F368,Probabilitas!$A$27:$A$28,0))</x:f>
        <x:v>0.0000043025662753556825</x:v>
      </x:c>
      <x:c r="I368" s="26" t="n">
        <x:f>Probabilitas!$C$5*INDEX(Probabilitas!$E$10:$E$11,MATCH(D368,Probabilitas!$A$10:$A$11,0))*INDEX(Probabilitas!$E$16:$E$22,MATCH(E368,Probabilitas!$A$16:$A$22,0))*INDEX(Probabilitas!$E$27:$E$28,MATCH(F368,Probabilitas!$A$27:$A$28,0))</x:f>
        <x:v>0.14651049047689044</x:v>
      </x:c>
      <x:c r="J368" s="26" t="n">
        <x:f>IFERROR(H368/(H368+I368),0)</x:f>
        <x:v>0.000029366087792159474</x:v>
      </x:c>
      <x:c r="K368" s="26" t="n">
        <x:f>IFERROR(I368/(H368+I368),0)</x:f>
        <x:v>0.999970633912208</x:v>
      </x:c>
      <x:c r="L368" s="24" t="str">
        <x:f>IF(J368&gt;=K368,"Minat","Tidak minat")</x:f>
        <x:v>Tidak minat</x:v>
      </x:c>
      <x:c r="M368" s="24" t="str">
        <x:f>IF(L368=G368,"Sesuai label latih","Berbeda dari label latih")</x:f>
        <x:v>Sesuai label latih</x:v>
      </x:c>
    </x:row>
    <x:row r="369">
      <x:c r="A369" s="24" t="n">
        <x:v>368</x:v>
      </x:c>
      <x:c r="B369" s="24" t="str">
        <x:v>TSM2-L-073</x:v>
      </x:c>
      <x:c r="C369" s="24" t="str">
        <x:v>Siswa TSM2 L-073</x:v>
      </x:c>
      <x:c r="D369" s="24" t="str">
        <x:v>TSM / Teknik Sepeda Motor</x:v>
      </x:c>
      <x:c r="E369" s="24" t="str">
        <x:v>TSM 2</x:v>
      </x:c>
      <x:c r="F369" s="24" t="str">
        <x:v>Laki-laki</x:v>
      </x:c>
      <x:c r="G369" s="24" t="str">
        <x:v>Tidak minat</x:v>
      </x:c>
      <x:c r="H369" s="26" t="n">
        <x:f>Probabilitas!$C$4*INDEX(Probabilitas!$C$10:$C$11,MATCH(D369,Probabilitas!$A$10:$A$11,0))*INDEX(Probabilitas!$C$16:$C$22,MATCH(E369,Probabilitas!$A$16:$A$22,0))*INDEX(Probabilitas!$C$27:$C$28,MATCH(F369,Probabilitas!$A$27:$A$28,0))</x:f>
        <x:v>0.0000043025662753556825</x:v>
      </x:c>
      <x:c r="I369" s="26" t="n">
        <x:f>Probabilitas!$C$5*INDEX(Probabilitas!$E$10:$E$11,MATCH(D369,Probabilitas!$A$10:$A$11,0))*INDEX(Probabilitas!$E$16:$E$22,MATCH(E369,Probabilitas!$A$16:$A$22,0))*INDEX(Probabilitas!$E$27:$E$28,MATCH(F369,Probabilitas!$A$27:$A$28,0))</x:f>
        <x:v>0.14651049047689044</x:v>
      </x:c>
      <x:c r="J369" s="26" t="n">
        <x:f>IFERROR(H369/(H369+I369),0)</x:f>
        <x:v>0.000029366087792159474</x:v>
      </x:c>
      <x:c r="K369" s="26" t="n">
        <x:f>IFERROR(I369/(H369+I369),0)</x:f>
        <x:v>0.999970633912208</x:v>
      </x:c>
      <x:c r="L369" s="24" t="str">
        <x:f>IF(J369&gt;=K369,"Minat","Tidak minat")</x:f>
        <x:v>Tidak minat</x:v>
      </x:c>
      <x:c r="M369" s="24" t="str">
        <x:f>IF(L369=G369,"Sesuai label latih","Berbeda dari label latih")</x:f>
        <x:v>Sesuai label latih</x:v>
      </x:c>
    </x:row>
    <x:row r="370">
      <x:c r="A370" s="24" t="n">
        <x:v>369</x:v>
      </x:c>
      <x:c r="B370" s="24" t="str">
        <x:v>TSM2-L-074</x:v>
      </x:c>
      <x:c r="C370" s="24" t="str">
        <x:v>Siswa TSM2 L-074</x:v>
      </x:c>
      <x:c r="D370" s="24" t="str">
        <x:v>TSM / Teknik Sepeda Motor</x:v>
      </x:c>
      <x:c r="E370" s="24" t="str">
        <x:v>TSM 2</x:v>
      </x:c>
      <x:c r="F370" s="24" t="str">
        <x:v>Laki-laki</x:v>
      </x:c>
      <x:c r="G370" s="24" t="str">
        <x:v>Tidak minat</x:v>
      </x:c>
      <x:c r="H370" s="26" t="n">
        <x:f>Probabilitas!$C$4*INDEX(Probabilitas!$C$10:$C$11,MATCH(D370,Probabilitas!$A$10:$A$11,0))*INDEX(Probabilitas!$C$16:$C$22,MATCH(E370,Probabilitas!$A$16:$A$22,0))*INDEX(Probabilitas!$C$27:$C$28,MATCH(F370,Probabilitas!$A$27:$A$28,0))</x:f>
        <x:v>0.0000043025662753556825</x:v>
      </x:c>
      <x:c r="I370" s="26" t="n">
        <x:f>Probabilitas!$C$5*INDEX(Probabilitas!$E$10:$E$11,MATCH(D370,Probabilitas!$A$10:$A$11,0))*INDEX(Probabilitas!$E$16:$E$22,MATCH(E370,Probabilitas!$A$16:$A$22,0))*INDEX(Probabilitas!$E$27:$E$28,MATCH(F370,Probabilitas!$A$27:$A$28,0))</x:f>
        <x:v>0.14651049047689044</x:v>
      </x:c>
      <x:c r="J370" s="26" t="n">
        <x:f>IFERROR(H370/(H370+I370),0)</x:f>
        <x:v>0.000029366087792159474</x:v>
      </x:c>
      <x:c r="K370" s="26" t="n">
        <x:f>IFERROR(I370/(H370+I370),0)</x:f>
        <x:v>0.999970633912208</x:v>
      </x:c>
      <x:c r="L370" s="24" t="str">
        <x:f>IF(J370&gt;=K370,"Minat","Tidak minat")</x:f>
        <x:v>Tidak minat</x:v>
      </x:c>
      <x:c r="M370" s="24" t="str">
        <x:f>IF(L370=G370,"Sesuai label latih","Berbeda dari label latih")</x:f>
        <x:v>Sesuai label latih</x:v>
      </x:c>
    </x:row>
    <x:row r="371">
      <x:c r="A371" s="24" t="n">
        <x:v>370</x:v>
      </x:c>
      <x:c r="B371" s="24" t="str">
        <x:v>TSM2-L-075</x:v>
      </x:c>
      <x:c r="C371" s="24" t="str">
        <x:v>Siswa TSM2 L-075</x:v>
      </x:c>
      <x:c r="D371" s="24" t="str">
        <x:v>TSM / Teknik Sepeda Motor</x:v>
      </x:c>
      <x:c r="E371" s="24" t="str">
        <x:v>TSM 2</x:v>
      </x:c>
      <x:c r="F371" s="24" t="str">
        <x:v>Laki-laki</x:v>
      </x:c>
      <x:c r="G371" s="24" t="str">
        <x:v>Tidak minat</x:v>
      </x:c>
      <x:c r="H371" s="26" t="n">
        <x:f>Probabilitas!$C$4*INDEX(Probabilitas!$C$10:$C$11,MATCH(D371,Probabilitas!$A$10:$A$11,0))*INDEX(Probabilitas!$C$16:$C$22,MATCH(E371,Probabilitas!$A$16:$A$22,0))*INDEX(Probabilitas!$C$27:$C$28,MATCH(F371,Probabilitas!$A$27:$A$28,0))</x:f>
        <x:v>0.0000043025662753556825</x:v>
      </x:c>
      <x:c r="I371" s="26" t="n">
        <x:f>Probabilitas!$C$5*INDEX(Probabilitas!$E$10:$E$11,MATCH(D371,Probabilitas!$A$10:$A$11,0))*INDEX(Probabilitas!$E$16:$E$22,MATCH(E371,Probabilitas!$A$16:$A$22,0))*INDEX(Probabilitas!$E$27:$E$28,MATCH(F371,Probabilitas!$A$27:$A$28,0))</x:f>
        <x:v>0.14651049047689044</x:v>
      </x:c>
      <x:c r="J371" s="26" t="n">
        <x:f>IFERROR(H371/(H371+I371),0)</x:f>
        <x:v>0.000029366087792159474</x:v>
      </x:c>
      <x:c r="K371" s="26" t="n">
        <x:f>IFERROR(I371/(H371+I371),0)</x:f>
        <x:v>0.999970633912208</x:v>
      </x:c>
      <x:c r="L371" s="24" t="str">
        <x:f>IF(J371&gt;=K371,"Minat","Tidak minat")</x:f>
        <x:v>Tidak minat</x:v>
      </x:c>
      <x:c r="M371" s="24" t="str">
        <x:f>IF(L371=G371,"Sesuai label latih","Berbeda dari label latih")</x:f>
        <x:v>Sesuai label latih</x:v>
      </x:c>
    </x:row>
    <x:row r="372">
      <x:c r="A372" s="24" t="n">
        <x:v>371</x:v>
      </x:c>
      <x:c r="B372" s="24" t="str">
        <x:v>TSM2-L-076</x:v>
      </x:c>
      <x:c r="C372" s="24" t="str">
        <x:v>Siswa TSM2 L-076</x:v>
      </x:c>
      <x:c r="D372" s="24" t="str">
        <x:v>TSM / Teknik Sepeda Motor</x:v>
      </x:c>
      <x:c r="E372" s="24" t="str">
        <x:v>TSM 2</x:v>
      </x:c>
      <x:c r="F372" s="24" t="str">
        <x:v>Laki-laki</x:v>
      </x:c>
      <x:c r="G372" s="24" t="str">
        <x:v>Tidak minat</x:v>
      </x:c>
      <x:c r="H372" s="26" t="n">
        <x:f>Probabilitas!$C$4*INDEX(Probabilitas!$C$10:$C$11,MATCH(D372,Probabilitas!$A$10:$A$11,0))*INDEX(Probabilitas!$C$16:$C$22,MATCH(E372,Probabilitas!$A$16:$A$22,0))*INDEX(Probabilitas!$C$27:$C$28,MATCH(F372,Probabilitas!$A$27:$A$28,0))</x:f>
        <x:v>0.0000043025662753556825</x:v>
      </x:c>
      <x:c r="I372" s="26" t="n">
        <x:f>Probabilitas!$C$5*INDEX(Probabilitas!$E$10:$E$11,MATCH(D372,Probabilitas!$A$10:$A$11,0))*INDEX(Probabilitas!$E$16:$E$22,MATCH(E372,Probabilitas!$A$16:$A$22,0))*INDEX(Probabilitas!$E$27:$E$28,MATCH(F372,Probabilitas!$A$27:$A$28,0))</x:f>
        <x:v>0.14651049047689044</x:v>
      </x:c>
      <x:c r="J372" s="26" t="n">
        <x:f>IFERROR(H372/(H372+I372),0)</x:f>
        <x:v>0.000029366087792159474</x:v>
      </x:c>
      <x:c r="K372" s="26" t="n">
        <x:f>IFERROR(I372/(H372+I372),0)</x:f>
        <x:v>0.999970633912208</x:v>
      </x:c>
      <x:c r="L372" s="24" t="str">
        <x:f>IF(J372&gt;=K372,"Minat","Tidak minat")</x:f>
        <x:v>Tidak minat</x:v>
      </x:c>
      <x:c r="M372" s="24" t="str">
        <x:f>IF(L372=G372,"Sesuai label latih","Berbeda dari label latih")</x:f>
        <x:v>Sesuai label latih</x:v>
      </x:c>
    </x:row>
    <x:row r="373">
      <x:c r="A373" s="24" t="n">
        <x:v>372</x:v>
      </x:c>
      <x:c r="B373" s="24" t="str">
        <x:v>TSM2-L-077</x:v>
      </x:c>
      <x:c r="C373" s="24" t="str">
        <x:v>Siswa TSM2 L-077</x:v>
      </x:c>
      <x:c r="D373" s="24" t="str">
        <x:v>TSM / Teknik Sepeda Motor</x:v>
      </x:c>
      <x:c r="E373" s="24" t="str">
        <x:v>TSM 2</x:v>
      </x:c>
      <x:c r="F373" s="24" t="str">
        <x:v>Laki-laki</x:v>
      </x:c>
      <x:c r="G373" s="24" t="str">
        <x:v>Tidak minat</x:v>
      </x:c>
      <x:c r="H373" s="26" t="n">
        <x:f>Probabilitas!$C$4*INDEX(Probabilitas!$C$10:$C$11,MATCH(D373,Probabilitas!$A$10:$A$11,0))*INDEX(Probabilitas!$C$16:$C$22,MATCH(E373,Probabilitas!$A$16:$A$22,0))*INDEX(Probabilitas!$C$27:$C$28,MATCH(F373,Probabilitas!$A$27:$A$28,0))</x:f>
        <x:v>0.0000043025662753556825</x:v>
      </x:c>
      <x:c r="I373" s="26" t="n">
        <x:f>Probabilitas!$C$5*INDEX(Probabilitas!$E$10:$E$11,MATCH(D373,Probabilitas!$A$10:$A$11,0))*INDEX(Probabilitas!$E$16:$E$22,MATCH(E373,Probabilitas!$A$16:$A$22,0))*INDEX(Probabilitas!$E$27:$E$28,MATCH(F373,Probabilitas!$A$27:$A$28,0))</x:f>
        <x:v>0.14651049047689044</x:v>
      </x:c>
      <x:c r="J373" s="26" t="n">
        <x:f>IFERROR(H373/(H373+I373),0)</x:f>
        <x:v>0.000029366087792159474</x:v>
      </x:c>
      <x:c r="K373" s="26" t="n">
        <x:f>IFERROR(I373/(H373+I373),0)</x:f>
        <x:v>0.999970633912208</x:v>
      </x:c>
      <x:c r="L373" s="24" t="str">
        <x:f>IF(J373&gt;=K373,"Minat","Tidak minat")</x:f>
        <x:v>Tidak minat</x:v>
      </x:c>
      <x:c r="M373" s="24" t="str">
        <x:f>IF(L373=G373,"Sesuai label latih","Berbeda dari label latih")</x:f>
        <x:v>Sesuai label latih</x:v>
      </x:c>
    </x:row>
    <x:row r="374">
      <x:c r="A374" s="24" t="n">
        <x:v>373</x:v>
      </x:c>
      <x:c r="B374" s="24" t="str">
        <x:v>TSM2-L-078</x:v>
      </x:c>
      <x:c r="C374" s="24" t="str">
        <x:v>Siswa TSM2 L-078</x:v>
      </x:c>
      <x:c r="D374" s="24" t="str">
        <x:v>TSM / Teknik Sepeda Motor</x:v>
      </x:c>
      <x:c r="E374" s="24" t="str">
        <x:v>TSM 2</x:v>
      </x:c>
      <x:c r="F374" s="24" t="str">
        <x:v>Laki-laki</x:v>
      </x:c>
      <x:c r="G374" s="24" t="str">
        <x:v>Tidak minat</x:v>
      </x:c>
      <x:c r="H374" s="26" t="n">
        <x:f>Probabilitas!$C$4*INDEX(Probabilitas!$C$10:$C$11,MATCH(D374,Probabilitas!$A$10:$A$11,0))*INDEX(Probabilitas!$C$16:$C$22,MATCH(E374,Probabilitas!$A$16:$A$22,0))*INDEX(Probabilitas!$C$27:$C$28,MATCH(F374,Probabilitas!$A$27:$A$28,0))</x:f>
        <x:v>0.0000043025662753556825</x:v>
      </x:c>
      <x:c r="I374" s="26" t="n">
        <x:f>Probabilitas!$C$5*INDEX(Probabilitas!$E$10:$E$11,MATCH(D374,Probabilitas!$A$10:$A$11,0))*INDEX(Probabilitas!$E$16:$E$22,MATCH(E374,Probabilitas!$A$16:$A$22,0))*INDEX(Probabilitas!$E$27:$E$28,MATCH(F374,Probabilitas!$A$27:$A$28,0))</x:f>
        <x:v>0.14651049047689044</x:v>
      </x:c>
      <x:c r="J374" s="26" t="n">
        <x:f>IFERROR(H374/(H374+I374),0)</x:f>
        <x:v>0.000029366087792159474</x:v>
      </x:c>
      <x:c r="K374" s="26" t="n">
        <x:f>IFERROR(I374/(H374+I374),0)</x:f>
        <x:v>0.999970633912208</x:v>
      </x:c>
      <x:c r="L374" s="24" t="str">
        <x:f>IF(J374&gt;=K374,"Minat","Tidak minat")</x:f>
        <x:v>Tidak minat</x:v>
      </x:c>
      <x:c r="M374" s="24" t="str">
        <x:f>IF(L374=G374,"Sesuai label latih","Berbeda dari label latih")</x:f>
        <x:v>Sesuai label latih</x:v>
      </x:c>
    </x:row>
    <x:row r="375">
      <x:c r="A375" s="24" t="n">
        <x:v>374</x:v>
      </x:c>
      <x:c r="B375" s="24" t="str">
        <x:v>TSM2-L-079</x:v>
      </x:c>
      <x:c r="C375" s="24" t="str">
        <x:v>Siswa TSM2 L-079</x:v>
      </x:c>
      <x:c r="D375" s="24" t="str">
        <x:v>TSM / Teknik Sepeda Motor</x:v>
      </x:c>
      <x:c r="E375" s="24" t="str">
        <x:v>TSM 2</x:v>
      </x:c>
      <x:c r="F375" s="24" t="str">
        <x:v>Laki-laki</x:v>
      </x:c>
      <x:c r="G375" s="24" t="str">
        <x:v>Tidak minat</x:v>
      </x:c>
      <x:c r="H375" s="26" t="n">
        <x:f>Probabilitas!$C$4*INDEX(Probabilitas!$C$10:$C$11,MATCH(D375,Probabilitas!$A$10:$A$11,0))*INDEX(Probabilitas!$C$16:$C$22,MATCH(E375,Probabilitas!$A$16:$A$22,0))*INDEX(Probabilitas!$C$27:$C$28,MATCH(F375,Probabilitas!$A$27:$A$28,0))</x:f>
        <x:v>0.0000043025662753556825</x:v>
      </x:c>
      <x:c r="I375" s="26" t="n">
        <x:f>Probabilitas!$C$5*INDEX(Probabilitas!$E$10:$E$11,MATCH(D375,Probabilitas!$A$10:$A$11,0))*INDEX(Probabilitas!$E$16:$E$22,MATCH(E375,Probabilitas!$A$16:$A$22,0))*INDEX(Probabilitas!$E$27:$E$28,MATCH(F375,Probabilitas!$A$27:$A$28,0))</x:f>
        <x:v>0.14651049047689044</x:v>
      </x:c>
      <x:c r="J375" s="26" t="n">
        <x:f>IFERROR(H375/(H375+I375),0)</x:f>
        <x:v>0.000029366087792159474</x:v>
      </x:c>
      <x:c r="K375" s="26" t="n">
        <x:f>IFERROR(I375/(H375+I375),0)</x:f>
        <x:v>0.999970633912208</x:v>
      </x:c>
      <x:c r="L375" s="24" t="str">
        <x:f>IF(J375&gt;=K375,"Minat","Tidak minat")</x:f>
        <x:v>Tidak minat</x:v>
      </x:c>
      <x:c r="M375" s="24" t="str">
        <x:f>IF(L375=G375,"Sesuai label latih","Berbeda dari label latih")</x:f>
        <x:v>Sesuai label latih</x:v>
      </x:c>
    </x:row>
    <x:row r="376">
      <x:c r="A376" s="24" t="n">
        <x:v>375</x:v>
      </x:c>
      <x:c r="B376" s="24" t="str">
        <x:v>TSM2-L-080</x:v>
      </x:c>
      <x:c r="C376" s="24" t="str">
        <x:v>Siswa TSM2 L-080</x:v>
      </x:c>
      <x:c r="D376" s="24" t="str">
        <x:v>TSM / Teknik Sepeda Motor</x:v>
      </x:c>
      <x:c r="E376" s="24" t="str">
        <x:v>TSM 2</x:v>
      </x:c>
      <x:c r="F376" s="24" t="str">
        <x:v>Laki-laki</x:v>
      </x:c>
      <x:c r="G376" s="24" t="str">
        <x:v>Tidak minat</x:v>
      </x:c>
      <x:c r="H376" s="26" t="n">
        <x:f>Probabilitas!$C$4*INDEX(Probabilitas!$C$10:$C$11,MATCH(D376,Probabilitas!$A$10:$A$11,0))*INDEX(Probabilitas!$C$16:$C$22,MATCH(E376,Probabilitas!$A$16:$A$22,0))*INDEX(Probabilitas!$C$27:$C$28,MATCH(F376,Probabilitas!$A$27:$A$28,0))</x:f>
        <x:v>0.0000043025662753556825</x:v>
      </x:c>
      <x:c r="I376" s="26" t="n">
        <x:f>Probabilitas!$C$5*INDEX(Probabilitas!$E$10:$E$11,MATCH(D376,Probabilitas!$A$10:$A$11,0))*INDEX(Probabilitas!$E$16:$E$22,MATCH(E376,Probabilitas!$A$16:$A$22,0))*INDEX(Probabilitas!$E$27:$E$28,MATCH(F376,Probabilitas!$A$27:$A$28,0))</x:f>
        <x:v>0.14651049047689044</x:v>
      </x:c>
      <x:c r="J376" s="26" t="n">
        <x:f>IFERROR(H376/(H376+I376),0)</x:f>
        <x:v>0.000029366087792159474</x:v>
      </x:c>
      <x:c r="K376" s="26" t="n">
        <x:f>IFERROR(I376/(H376+I376),0)</x:f>
        <x:v>0.999970633912208</x:v>
      </x:c>
      <x:c r="L376" s="24" t="str">
        <x:f>IF(J376&gt;=K376,"Minat","Tidak minat")</x:f>
        <x:v>Tidak minat</x:v>
      </x:c>
      <x:c r="M376" s="24" t="str">
        <x:f>IF(L376=G376,"Sesuai label latih","Berbeda dari label latih")</x:f>
        <x:v>Sesuai label latih</x:v>
      </x:c>
    </x:row>
    <x:row r="377">
      <x:c r="A377" s="24" t="n">
        <x:v>376</x:v>
      </x:c>
      <x:c r="B377" s="24" t="str">
        <x:v>TSM2-P-001</x:v>
      </x:c>
      <x:c r="C377" s="24" t="str">
        <x:v>Siswa TSM2 P-001</x:v>
      </x:c>
      <x:c r="D377" s="24" t="str">
        <x:v>TSM / Teknik Sepeda Motor</x:v>
      </x:c>
      <x:c r="E377" s="24" t="str">
        <x:v>TSM 2</x:v>
      </x:c>
      <x:c r="F377" s="24" t="str">
        <x:v>Perempuan</x:v>
      </x:c>
      <x:c r="G377" s="24" t="str">
        <x:v>Tidak minat</x:v>
      </x:c>
      <x:c r="H377" s="26" t="n">
        <x:f>Probabilitas!$C$4*INDEX(Probabilitas!$C$10:$C$11,MATCH(D377,Probabilitas!$A$10:$A$11,0))*INDEX(Probabilitas!$C$16:$C$22,MATCH(E377,Probabilitas!$A$16:$A$22,0))*INDEX(Probabilitas!$C$27:$C$28,MATCH(F377,Probabilitas!$A$27:$A$28,0))</x:f>
        <x:v>0.000004178453786643499</x:v>
      </x:c>
      <x:c r="I377" s="26" t="n">
        <x:f>Probabilitas!$C$5*INDEX(Probabilitas!$E$10:$E$11,MATCH(D377,Probabilitas!$A$10:$A$11,0))*INDEX(Probabilitas!$E$16:$E$22,MATCH(E377,Probabilitas!$A$16:$A$22,0))*INDEX(Probabilitas!$E$27:$E$28,MATCH(F377,Probabilitas!$A$27:$A$28,0))</x:f>
        <x:v>0.013524045274789887</x:v>
      </x:c>
      <x:c r="J377" s="26" t="n">
        <x:f>IFERROR(H377/(H377+I377),0)</x:f>
        <x:v>0.0003088693586444083</x:v>
      </x:c>
      <x:c r="K377" s="26" t="n">
        <x:f>IFERROR(I377/(H377+I377),0)</x:f>
        <x:v>0.9996911306413555</x:v>
      </x:c>
      <x:c r="L377" s="24" t="str">
        <x:f>IF(J377&gt;=K377,"Minat","Tidak minat")</x:f>
        <x:v>Tidak minat</x:v>
      </x:c>
      <x:c r="M377" s="24" t="str">
        <x:f>IF(L377=G377,"Sesuai label latih","Berbeda dari label latih")</x:f>
        <x:v>Sesuai label latih</x:v>
      </x:c>
    </x:row>
    <x:row r="378">
      <x:c r="A378" s="24" t="n">
        <x:v>377</x:v>
      </x:c>
      <x:c r="B378" s="24" t="str">
        <x:v>TSM2-P-002</x:v>
      </x:c>
      <x:c r="C378" s="24" t="str">
        <x:v>Siswa TSM2 P-002</x:v>
      </x:c>
      <x:c r="D378" s="24" t="str">
        <x:v>TSM / Teknik Sepeda Motor</x:v>
      </x:c>
      <x:c r="E378" s="24" t="str">
        <x:v>TSM 2</x:v>
      </x:c>
      <x:c r="F378" s="24" t="str">
        <x:v>Perempuan</x:v>
      </x:c>
      <x:c r="G378" s="24" t="str">
        <x:v>Tidak minat</x:v>
      </x:c>
      <x:c r="H378" s="26" t="n">
        <x:f>Probabilitas!$C$4*INDEX(Probabilitas!$C$10:$C$11,MATCH(D378,Probabilitas!$A$10:$A$11,0))*INDEX(Probabilitas!$C$16:$C$22,MATCH(E378,Probabilitas!$A$16:$A$22,0))*INDEX(Probabilitas!$C$27:$C$28,MATCH(F378,Probabilitas!$A$27:$A$28,0))</x:f>
        <x:v>0.000004178453786643499</x:v>
      </x:c>
      <x:c r="I378" s="26" t="n">
        <x:f>Probabilitas!$C$5*INDEX(Probabilitas!$E$10:$E$11,MATCH(D378,Probabilitas!$A$10:$A$11,0))*INDEX(Probabilitas!$E$16:$E$22,MATCH(E378,Probabilitas!$A$16:$A$22,0))*INDEX(Probabilitas!$E$27:$E$28,MATCH(F378,Probabilitas!$A$27:$A$28,0))</x:f>
        <x:v>0.013524045274789887</x:v>
      </x:c>
      <x:c r="J378" s="26" t="n">
        <x:f>IFERROR(H378/(H378+I378),0)</x:f>
        <x:v>0.0003088693586444083</x:v>
      </x:c>
      <x:c r="K378" s="26" t="n">
        <x:f>IFERROR(I378/(H378+I378),0)</x:f>
        <x:v>0.9996911306413555</x:v>
      </x:c>
      <x:c r="L378" s="24" t="str">
        <x:f>IF(J378&gt;=K378,"Minat","Tidak minat")</x:f>
        <x:v>Tidak minat</x:v>
      </x:c>
      <x:c r="M378" s="24" t="str">
        <x:f>IF(L378=G378,"Sesuai label latih","Berbeda dari label latih")</x:f>
        <x:v>Sesuai label latih</x:v>
      </x:c>
    </x:row>
    <x:row r="379">
      <x:c r="A379" s="24" t="n">
        <x:v>378</x:v>
      </x:c>
      <x:c r="B379" s="24" t="str">
        <x:v>TSM2-P-003</x:v>
      </x:c>
      <x:c r="C379" s="24" t="str">
        <x:v>Siswa TSM2 P-003</x:v>
      </x:c>
      <x:c r="D379" s="24" t="str">
        <x:v>TSM / Teknik Sepeda Motor</x:v>
      </x:c>
      <x:c r="E379" s="24" t="str">
        <x:v>TSM 2</x:v>
      </x:c>
      <x:c r="F379" s="24" t="str">
        <x:v>Perempuan</x:v>
      </x:c>
      <x:c r="G379" s="24" t="str">
        <x:v>Tidak minat</x:v>
      </x:c>
      <x:c r="H379" s="26" t="n">
        <x:f>Probabilitas!$C$4*INDEX(Probabilitas!$C$10:$C$11,MATCH(D379,Probabilitas!$A$10:$A$11,0))*INDEX(Probabilitas!$C$16:$C$22,MATCH(E379,Probabilitas!$A$16:$A$22,0))*INDEX(Probabilitas!$C$27:$C$28,MATCH(F379,Probabilitas!$A$27:$A$28,0))</x:f>
        <x:v>0.000004178453786643499</x:v>
      </x:c>
      <x:c r="I379" s="26" t="n">
        <x:f>Probabilitas!$C$5*INDEX(Probabilitas!$E$10:$E$11,MATCH(D379,Probabilitas!$A$10:$A$11,0))*INDEX(Probabilitas!$E$16:$E$22,MATCH(E379,Probabilitas!$A$16:$A$22,0))*INDEX(Probabilitas!$E$27:$E$28,MATCH(F379,Probabilitas!$A$27:$A$28,0))</x:f>
        <x:v>0.013524045274789887</x:v>
      </x:c>
      <x:c r="J379" s="26" t="n">
        <x:f>IFERROR(H379/(H379+I379),0)</x:f>
        <x:v>0.0003088693586444083</x:v>
      </x:c>
      <x:c r="K379" s="26" t="n">
        <x:f>IFERROR(I379/(H379+I379),0)</x:f>
        <x:v>0.9996911306413555</x:v>
      </x:c>
      <x:c r="L379" s="24" t="str">
        <x:f>IF(J379&gt;=K379,"Minat","Tidak minat")</x:f>
        <x:v>Tidak minat</x:v>
      </x:c>
      <x:c r="M379" s="24" t="str">
        <x:f>IF(L379=G379,"Sesuai label latih","Berbeda dari label latih")</x:f>
        <x:v>Sesuai label latih</x:v>
      </x:c>
    </x:row>
    <x:row r="380">
      <x:c r="A380" s="24" t="n">
        <x:v>379</x:v>
      </x:c>
      <x:c r="B380" s="24" t="str">
        <x:v>TSM2-P-004</x:v>
      </x:c>
      <x:c r="C380" s="24" t="str">
        <x:v>Siswa TSM2 P-004</x:v>
      </x:c>
      <x:c r="D380" s="24" t="str">
        <x:v>TSM / Teknik Sepeda Motor</x:v>
      </x:c>
      <x:c r="E380" s="24" t="str">
        <x:v>TSM 2</x:v>
      </x:c>
      <x:c r="F380" s="24" t="str">
        <x:v>Perempuan</x:v>
      </x:c>
      <x:c r="G380" s="24" t="str">
        <x:v>Tidak minat</x:v>
      </x:c>
      <x:c r="H380" s="26" t="n">
        <x:f>Probabilitas!$C$4*INDEX(Probabilitas!$C$10:$C$11,MATCH(D380,Probabilitas!$A$10:$A$11,0))*INDEX(Probabilitas!$C$16:$C$22,MATCH(E380,Probabilitas!$A$16:$A$22,0))*INDEX(Probabilitas!$C$27:$C$28,MATCH(F380,Probabilitas!$A$27:$A$28,0))</x:f>
        <x:v>0.000004178453786643499</x:v>
      </x:c>
      <x:c r="I380" s="26" t="n">
        <x:f>Probabilitas!$C$5*INDEX(Probabilitas!$E$10:$E$11,MATCH(D380,Probabilitas!$A$10:$A$11,0))*INDEX(Probabilitas!$E$16:$E$22,MATCH(E380,Probabilitas!$A$16:$A$22,0))*INDEX(Probabilitas!$E$27:$E$28,MATCH(F380,Probabilitas!$A$27:$A$28,0))</x:f>
        <x:v>0.013524045274789887</x:v>
      </x:c>
      <x:c r="J380" s="26" t="n">
        <x:f>IFERROR(H380/(H380+I380),0)</x:f>
        <x:v>0.0003088693586444083</x:v>
      </x:c>
      <x:c r="K380" s="26" t="n">
        <x:f>IFERROR(I380/(H380+I380),0)</x:f>
        <x:v>0.9996911306413555</x:v>
      </x:c>
      <x:c r="L380" s="24" t="str">
        <x:f>IF(J380&gt;=K380,"Minat","Tidak minat")</x:f>
        <x:v>Tidak minat</x:v>
      </x:c>
      <x:c r="M380" s="24" t="str">
        <x:f>IF(L380=G380,"Sesuai label latih","Berbeda dari label latih")</x:f>
        <x:v>Sesuai label latih</x:v>
      </x:c>
    </x:row>
    <x:row r="381">
      <x:c r="A381" s="24" t="n">
        <x:v>380</x:v>
      </x:c>
      <x:c r="B381" s="24" t="str">
        <x:v>TSM2-P-005</x:v>
      </x:c>
      <x:c r="C381" s="24" t="str">
        <x:v>Siswa TSM2 P-005</x:v>
      </x:c>
      <x:c r="D381" s="24" t="str">
        <x:v>TSM / Teknik Sepeda Motor</x:v>
      </x:c>
      <x:c r="E381" s="24" t="str">
        <x:v>TSM 2</x:v>
      </x:c>
      <x:c r="F381" s="24" t="str">
        <x:v>Perempuan</x:v>
      </x:c>
      <x:c r="G381" s="24" t="str">
        <x:v>Tidak minat</x:v>
      </x:c>
      <x:c r="H381" s="26" t="n">
        <x:f>Probabilitas!$C$4*INDEX(Probabilitas!$C$10:$C$11,MATCH(D381,Probabilitas!$A$10:$A$11,0))*INDEX(Probabilitas!$C$16:$C$22,MATCH(E381,Probabilitas!$A$16:$A$22,0))*INDEX(Probabilitas!$C$27:$C$28,MATCH(F381,Probabilitas!$A$27:$A$28,0))</x:f>
        <x:v>0.000004178453786643499</x:v>
      </x:c>
      <x:c r="I381" s="26" t="n">
        <x:f>Probabilitas!$C$5*INDEX(Probabilitas!$E$10:$E$11,MATCH(D381,Probabilitas!$A$10:$A$11,0))*INDEX(Probabilitas!$E$16:$E$22,MATCH(E381,Probabilitas!$A$16:$A$22,0))*INDEX(Probabilitas!$E$27:$E$28,MATCH(F381,Probabilitas!$A$27:$A$28,0))</x:f>
        <x:v>0.013524045274789887</x:v>
      </x:c>
      <x:c r="J381" s="26" t="n">
        <x:f>IFERROR(H381/(H381+I381),0)</x:f>
        <x:v>0.0003088693586444083</x:v>
      </x:c>
      <x:c r="K381" s="26" t="n">
        <x:f>IFERROR(I381/(H381+I381),0)</x:f>
        <x:v>0.9996911306413555</x:v>
      </x:c>
      <x:c r="L381" s="24" t="str">
        <x:f>IF(J381&gt;=K381,"Minat","Tidak minat")</x:f>
        <x:v>Tidak minat</x:v>
      </x:c>
      <x:c r="M381" s="24" t="str">
        <x:f>IF(L381=G381,"Sesuai label latih","Berbeda dari label latih")</x:f>
        <x:v>Sesuai label latih</x:v>
      </x:c>
    </x:row>
    <x:row r="382">
      <x:c r="A382" s="24" t="n">
        <x:v>381</x:v>
      </x:c>
      <x:c r="B382" s="24" t="str">
        <x:v>TSM2-P-006</x:v>
      </x:c>
      <x:c r="C382" s="24" t="str">
        <x:v>Siswa TSM2 P-006</x:v>
      </x:c>
      <x:c r="D382" s="24" t="str">
        <x:v>TSM / Teknik Sepeda Motor</x:v>
      </x:c>
      <x:c r="E382" s="24" t="str">
        <x:v>TSM 2</x:v>
      </x:c>
      <x:c r="F382" s="24" t="str">
        <x:v>Perempuan</x:v>
      </x:c>
      <x:c r="G382" s="24" t="str">
        <x:v>Tidak minat</x:v>
      </x:c>
      <x:c r="H382" s="26" t="n">
        <x:f>Probabilitas!$C$4*INDEX(Probabilitas!$C$10:$C$11,MATCH(D382,Probabilitas!$A$10:$A$11,0))*INDEX(Probabilitas!$C$16:$C$22,MATCH(E382,Probabilitas!$A$16:$A$22,0))*INDEX(Probabilitas!$C$27:$C$28,MATCH(F382,Probabilitas!$A$27:$A$28,0))</x:f>
        <x:v>0.000004178453786643499</x:v>
      </x:c>
      <x:c r="I382" s="26" t="n">
        <x:f>Probabilitas!$C$5*INDEX(Probabilitas!$E$10:$E$11,MATCH(D382,Probabilitas!$A$10:$A$11,0))*INDEX(Probabilitas!$E$16:$E$22,MATCH(E382,Probabilitas!$A$16:$A$22,0))*INDEX(Probabilitas!$E$27:$E$28,MATCH(F382,Probabilitas!$A$27:$A$28,0))</x:f>
        <x:v>0.013524045274789887</x:v>
      </x:c>
      <x:c r="J382" s="26" t="n">
        <x:f>IFERROR(H382/(H382+I382),0)</x:f>
        <x:v>0.0003088693586444083</x:v>
      </x:c>
      <x:c r="K382" s="26" t="n">
        <x:f>IFERROR(I382/(H382+I382),0)</x:f>
        <x:v>0.9996911306413555</x:v>
      </x:c>
      <x:c r="L382" s="24" t="str">
        <x:f>IF(J382&gt;=K382,"Minat","Tidak minat")</x:f>
        <x:v>Tidak minat</x:v>
      </x:c>
      <x:c r="M382" s="24" t="str">
        <x:f>IF(L382=G382,"Sesuai label latih","Berbeda dari label latih")</x:f>
        <x:v>Sesuai label latih</x:v>
      </x:c>
    </x:row>
    <x:row r="383">
      <x:c r="A383" s="24" t="n">
        <x:v>382</x:v>
      </x:c>
      <x:c r="B383" s="24" t="str">
        <x:v>TSM2-P-007</x:v>
      </x:c>
      <x:c r="C383" s="24" t="str">
        <x:v>Siswa TSM2 P-007</x:v>
      </x:c>
      <x:c r="D383" s="24" t="str">
        <x:v>TSM / Teknik Sepeda Motor</x:v>
      </x:c>
      <x:c r="E383" s="24" t="str">
        <x:v>TSM 2</x:v>
      </x:c>
      <x:c r="F383" s="24" t="str">
        <x:v>Perempuan</x:v>
      </x:c>
      <x:c r="G383" s="24" t="str">
        <x:v>Tidak minat</x:v>
      </x:c>
      <x:c r="H383" s="26" t="n">
        <x:f>Probabilitas!$C$4*INDEX(Probabilitas!$C$10:$C$11,MATCH(D383,Probabilitas!$A$10:$A$11,0))*INDEX(Probabilitas!$C$16:$C$22,MATCH(E383,Probabilitas!$A$16:$A$22,0))*INDEX(Probabilitas!$C$27:$C$28,MATCH(F383,Probabilitas!$A$27:$A$28,0))</x:f>
        <x:v>0.000004178453786643499</x:v>
      </x:c>
      <x:c r="I383" s="26" t="n">
        <x:f>Probabilitas!$C$5*INDEX(Probabilitas!$E$10:$E$11,MATCH(D383,Probabilitas!$A$10:$A$11,0))*INDEX(Probabilitas!$E$16:$E$22,MATCH(E383,Probabilitas!$A$16:$A$22,0))*INDEX(Probabilitas!$E$27:$E$28,MATCH(F383,Probabilitas!$A$27:$A$28,0))</x:f>
        <x:v>0.013524045274789887</x:v>
      </x:c>
      <x:c r="J383" s="26" t="n">
        <x:f>IFERROR(H383/(H383+I383),0)</x:f>
        <x:v>0.0003088693586444083</x:v>
      </x:c>
      <x:c r="K383" s="26" t="n">
        <x:f>IFERROR(I383/(H383+I383),0)</x:f>
        <x:v>0.9996911306413555</x:v>
      </x:c>
      <x:c r="L383" s="24" t="str">
        <x:f>IF(J383&gt;=K383,"Minat","Tidak minat")</x:f>
        <x:v>Tidak minat</x:v>
      </x:c>
      <x:c r="M383" s="24" t="str">
        <x:f>IF(L383=G383,"Sesuai label latih","Berbeda dari label latih")</x:f>
        <x:v>Sesuai label latih</x:v>
      </x:c>
    </x:row>
    <x:row r="384">
      <x:c r="A384" s="24" t="n">
        <x:v>383</x:v>
      </x:c>
      <x:c r="B384" s="24" t="str">
        <x:v>TSM2-P-008</x:v>
      </x:c>
      <x:c r="C384" s="24" t="str">
        <x:v>Siswa TSM2 P-008</x:v>
      </x:c>
      <x:c r="D384" s="24" t="str">
        <x:v>TSM / Teknik Sepeda Motor</x:v>
      </x:c>
      <x:c r="E384" s="24" t="str">
        <x:v>TSM 2</x:v>
      </x:c>
      <x:c r="F384" s="24" t="str">
        <x:v>Perempuan</x:v>
      </x:c>
      <x:c r="G384" s="24" t="str">
        <x:v>Tidak minat</x:v>
      </x:c>
      <x:c r="H384" s="26" t="n">
        <x:f>Probabilitas!$C$4*INDEX(Probabilitas!$C$10:$C$11,MATCH(D384,Probabilitas!$A$10:$A$11,0))*INDEX(Probabilitas!$C$16:$C$22,MATCH(E384,Probabilitas!$A$16:$A$22,0))*INDEX(Probabilitas!$C$27:$C$28,MATCH(F384,Probabilitas!$A$27:$A$28,0))</x:f>
        <x:v>0.000004178453786643499</x:v>
      </x:c>
      <x:c r="I384" s="26" t="n">
        <x:f>Probabilitas!$C$5*INDEX(Probabilitas!$E$10:$E$11,MATCH(D384,Probabilitas!$A$10:$A$11,0))*INDEX(Probabilitas!$E$16:$E$22,MATCH(E384,Probabilitas!$A$16:$A$22,0))*INDEX(Probabilitas!$E$27:$E$28,MATCH(F384,Probabilitas!$A$27:$A$28,0))</x:f>
        <x:v>0.013524045274789887</x:v>
      </x:c>
      <x:c r="J384" s="26" t="n">
        <x:f>IFERROR(H384/(H384+I384),0)</x:f>
        <x:v>0.0003088693586444083</x:v>
      </x:c>
      <x:c r="K384" s="26" t="n">
        <x:f>IFERROR(I384/(H384+I384),0)</x:f>
        <x:v>0.9996911306413555</x:v>
      </x:c>
      <x:c r="L384" s="24" t="str">
        <x:f>IF(J384&gt;=K384,"Minat","Tidak minat")</x:f>
        <x:v>Tidak minat</x:v>
      </x:c>
      <x:c r="M384" s="24" t="str">
        <x:f>IF(L384=G384,"Sesuai label latih","Berbeda dari label latih")</x:f>
        <x:v>Sesuai label latih</x:v>
      </x:c>
    </x:row>
    <x:row r="385">
      <x:c r="A385" s="24" t="n">
        <x:v>384</x:v>
      </x:c>
      <x:c r="B385" s="24" t="str">
        <x:v>TSM2-P-009</x:v>
      </x:c>
      <x:c r="C385" s="24" t="str">
        <x:v>Siswa TSM2 P-009</x:v>
      </x:c>
      <x:c r="D385" s="24" t="str">
        <x:v>TSM / Teknik Sepeda Motor</x:v>
      </x:c>
      <x:c r="E385" s="24" t="str">
        <x:v>TSM 2</x:v>
      </x:c>
      <x:c r="F385" s="24" t="str">
        <x:v>Perempuan</x:v>
      </x:c>
      <x:c r="G385" s="24" t="str">
        <x:v>Tidak minat</x:v>
      </x:c>
      <x:c r="H385" s="26" t="n">
        <x:f>Probabilitas!$C$4*INDEX(Probabilitas!$C$10:$C$11,MATCH(D385,Probabilitas!$A$10:$A$11,0))*INDEX(Probabilitas!$C$16:$C$22,MATCH(E385,Probabilitas!$A$16:$A$22,0))*INDEX(Probabilitas!$C$27:$C$28,MATCH(F385,Probabilitas!$A$27:$A$28,0))</x:f>
        <x:v>0.000004178453786643499</x:v>
      </x:c>
      <x:c r="I385" s="26" t="n">
        <x:f>Probabilitas!$C$5*INDEX(Probabilitas!$E$10:$E$11,MATCH(D385,Probabilitas!$A$10:$A$11,0))*INDEX(Probabilitas!$E$16:$E$22,MATCH(E385,Probabilitas!$A$16:$A$22,0))*INDEX(Probabilitas!$E$27:$E$28,MATCH(F385,Probabilitas!$A$27:$A$28,0))</x:f>
        <x:v>0.013524045274789887</x:v>
      </x:c>
      <x:c r="J385" s="26" t="n">
        <x:f>IFERROR(H385/(H385+I385),0)</x:f>
        <x:v>0.0003088693586444083</x:v>
      </x:c>
      <x:c r="K385" s="26" t="n">
        <x:f>IFERROR(I385/(H385+I385),0)</x:f>
        <x:v>0.9996911306413555</x:v>
      </x:c>
      <x:c r="L385" s="24" t="str">
        <x:f>IF(J385&gt;=K385,"Minat","Tidak minat")</x:f>
        <x:v>Tidak minat</x:v>
      </x:c>
      <x:c r="M385" s="24" t="str">
        <x:f>IF(L385=G385,"Sesuai label latih","Berbeda dari label latih")</x:f>
        <x:v>Sesuai label latih</x:v>
      </x:c>
    </x:row>
    <x:row r="386">
      <x:c r="A386" s="24" t="n">
        <x:v>385</x:v>
      </x:c>
      <x:c r="B386" s="24" t="str">
        <x:v>TSM2-P-010</x:v>
      </x:c>
      <x:c r="C386" s="24" t="str">
        <x:v>Siswa TSM2 P-010</x:v>
      </x:c>
      <x:c r="D386" s="24" t="str">
        <x:v>TSM / Teknik Sepeda Motor</x:v>
      </x:c>
      <x:c r="E386" s="24" t="str">
        <x:v>TSM 2</x:v>
      </x:c>
      <x:c r="F386" s="24" t="str">
        <x:v>Perempuan</x:v>
      </x:c>
      <x:c r="G386" s="24" t="str">
        <x:v>Tidak minat</x:v>
      </x:c>
      <x:c r="H386" s="26" t="n">
        <x:f>Probabilitas!$C$4*INDEX(Probabilitas!$C$10:$C$11,MATCH(D386,Probabilitas!$A$10:$A$11,0))*INDEX(Probabilitas!$C$16:$C$22,MATCH(E386,Probabilitas!$A$16:$A$22,0))*INDEX(Probabilitas!$C$27:$C$28,MATCH(F386,Probabilitas!$A$27:$A$28,0))</x:f>
        <x:v>0.000004178453786643499</x:v>
      </x:c>
      <x:c r="I386" s="26" t="n">
        <x:f>Probabilitas!$C$5*INDEX(Probabilitas!$E$10:$E$11,MATCH(D386,Probabilitas!$A$10:$A$11,0))*INDEX(Probabilitas!$E$16:$E$22,MATCH(E386,Probabilitas!$A$16:$A$22,0))*INDEX(Probabilitas!$E$27:$E$28,MATCH(F386,Probabilitas!$A$27:$A$28,0))</x:f>
        <x:v>0.013524045274789887</x:v>
      </x:c>
      <x:c r="J386" s="26" t="n">
        <x:f>IFERROR(H386/(H386+I386),0)</x:f>
        <x:v>0.0003088693586444083</x:v>
      </x:c>
      <x:c r="K386" s="26" t="n">
        <x:f>IFERROR(I386/(H386+I386),0)</x:f>
        <x:v>0.9996911306413555</x:v>
      </x:c>
      <x:c r="L386" s="24" t="str">
        <x:f>IF(J386&gt;=K386,"Minat","Tidak minat")</x:f>
        <x:v>Tidak minat</x:v>
      </x:c>
      <x:c r="M386" s="24" t="str">
        <x:f>IF(L386=G386,"Sesuai label latih","Berbeda dari label latih")</x:f>
        <x:v>Sesuai label latih</x:v>
      </x:c>
    </x:row>
    <x:row r="387">
      <x:c r="A387" s="24" t="n">
        <x:v>386</x:v>
      </x:c>
      <x:c r="B387" s="24" t="str">
        <x:v>TSM3-L-001</x:v>
      </x:c>
      <x:c r="C387" s="24" t="str">
        <x:v>Siswa TSM3 L-001</x:v>
      </x:c>
      <x:c r="D387" s="24" t="str">
        <x:v>TSM / Teknik Sepeda Motor</x:v>
      </x:c>
      <x:c r="E387" s="24" t="str">
        <x:v>TSM 3</x:v>
      </x:c>
      <x:c r="F387" s="24" t="str">
        <x:v>Laki-laki</x:v>
      </x:c>
      <x:c r="G387" s="24" t="str">
        <x:v>Tidak minat</x:v>
      </x:c>
      <x:c r="H387" s="26" t="n">
        <x:f>Probabilitas!$C$4*INDEX(Probabilitas!$C$10:$C$11,MATCH(D387,Probabilitas!$A$10:$A$11,0))*INDEX(Probabilitas!$C$16:$C$22,MATCH(E387,Probabilitas!$A$16:$A$22,0))*INDEX(Probabilitas!$C$27:$C$28,MATCH(F387,Probabilitas!$A$27:$A$28,0))</x:f>
        <x:v>0.0000043025662753556825</x:v>
      </x:c>
      <x:c r="I387" s="26" t="n">
        <x:f>Probabilitas!$C$5*INDEX(Probabilitas!$E$10:$E$11,MATCH(D387,Probabilitas!$A$10:$A$11,0))*INDEX(Probabilitas!$E$16:$E$22,MATCH(E387,Probabilitas!$A$16:$A$22,0))*INDEX(Probabilitas!$E$27:$E$28,MATCH(F387,Probabilitas!$A$27:$A$28,0))</x:f>
        <x:v>0.14007046891746672</x:v>
      </x:c>
      <x:c r="J387" s="26" t="n">
        <x:f>IFERROR(H387/(H387+I387),0)</x:f>
        <x:v>0.000030716211276168776</x:v>
      </x:c>
      <x:c r="K387" s="26" t="n">
        <x:f>IFERROR(I387/(H387+I387),0)</x:f>
        <x:v>0.999969283788724</x:v>
      </x:c>
      <x:c r="L387" s="24" t="str">
        <x:f>IF(J387&gt;=K387,"Minat","Tidak minat")</x:f>
        <x:v>Tidak minat</x:v>
      </x:c>
      <x:c r="M387" s="24" t="str">
        <x:f>IF(L387=G387,"Sesuai label latih","Berbeda dari label latih")</x:f>
        <x:v>Sesuai label latih</x:v>
      </x:c>
    </x:row>
    <x:row r="388">
      <x:c r="A388" s="24" t="n">
        <x:v>387</x:v>
      </x:c>
      <x:c r="B388" s="24" t="str">
        <x:v>TSM3-L-002</x:v>
      </x:c>
      <x:c r="C388" s="24" t="str">
        <x:v>Siswa TSM3 L-002</x:v>
      </x:c>
      <x:c r="D388" s="24" t="str">
        <x:v>TSM / Teknik Sepeda Motor</x:v>
      </x:c>
      <x:c r="E388" s="24" t="str">
        <x:v>TSM 3</x:v>
      </x:c>
      <x:c r="F388" s="24" t="str">
        <x:v>Laki-laki</x:v>
      </x:c>
      <x:c r="G388" s="24" t="str">
        <x:v>Tidak minat</x:v>
      </x:c>
      <x:c r="H388" s="26" t="n">
        <x:f>Probabilitas!$C$4*INDEX(Probabilitas!$C$10:$C$11,MATCH(D388,Probabilitas!$A$10:$A$11,0))*INDEX(Probabilitas!$C$16:$C$22,MATCH(E388,Probabilitas!$A$16:$A$22,0))*INDEX(Probabilitas!$C$27:$C$28,MATCH(F388,Probabilitas!$A$27:$A$28,0))</x:f>
        <x:v>0.0000043025662753556825</x:v>
      </x:c>
      <x:c r="I388" s="26" t="n">
        <x:f>Probabilitas!$C$5*INDEX(Probabilitas!$E$10:$E$11,MATCH(D388,Probabilitas!$A$10:$A$11,0))*INDEX(Probabilitas!$E$16:$E$22,MATCH(E388,Probabilitas!$A$16:$A$22,0))*INDEX(Probabilitas!$E$27:$E$28,MATCH(F388,Probabilitas!$A$27:$A$28,0))</x:f>
        <x:v>0.14007046891746672</x:v>
      </x:c>
      <x:c r="J388" s="26" t="n">
        <x:f>IFERROR(H388/(H388+I388),0)</x:f>
        <x:v>0.000030716211276168776</x:v>
      </x:c>
      <x:c r="K388" s="26" t="n">
        <x:f>IFERROR(I388/(H388+I388),0)</x:f>
        <x:v>0.999969283788724</x:v>
      </x:c>
      <x:c r="L388" s="24" t="str">
        <x:f>IF(J388&gt;=K388,"Minat","Tidak minat")</x:f>
        <x:v>Tidak minat</x:v>
      </x:c>
      <x:c r="M388" s="24" t="str">
        <x:f>IF(L388=G388,"Sesuai label latih","Berbeda dari label latih")</x:f>
        <x:v>Sesuai label latih</x:v>
      </x:c>
    </x:row>
    <x:row r="389">
      <x:c r="A389" s="24" t="n">
        <x:v>388</x:v>
      </x:c>
      <x:c r="B389" s="24" t="str">
        <x:v>TSM3-L-003</x:v>
      </x:c>
      <x:c r="C389" s="24" t="str">
        <x:v>Siswa TSM3 L-003</x:v>
      </x:c>
      <x:c r="D389" s="24" t="str">
        <x:v>TSM / Teknik Sepeda Motor</x:v>
      </x:c>
      <x:c r="E389" s="24" t="str">
        <x:v>TSM 3</x:v>
      </x:c>
      <x:c r="F389" s="24" t="str">
        <x:v>Laki-laki</x:v>
      </x:c>
      <x:c r="G389" s="24" t="str">
        <x:v>Tidak minat</x:v>
      </x:c>
      <x:c r="H389" s="26" t="n">
        <x:f>Probabilitas!$C$4*INDEX(Probabilitas!$C$10:$C$11,MATCH(D389,Probabilitas!$A$10:$A$11,0))*INDEX(Probabilitas!$C$16:$C$22,MATCH(E389,Probabilitas!$A$16:$A$22,0))*INDEX(Probabilitas!$C$27:$C$28,MATCH(F389,Probabilitas!$A$27:$A$28,0))</x:f>
        <x:v>0.0000043025662753556825</x:v>
      </x:c>
      <x:c r="I389" s="26" t="n">
        <x:f>Probabilitas!$C$5*INDEX(Probabilitas!$E$10:$E$11,MATCH(D389,Probabilitas!$A$10:$A$11,0))*INDEX(Probabilitas!$E$16:$E$22,MATCH(E389,Probabilitas!$A$16:$A$22,0))*INDEX(Probabilitas!$E$27:$E$28,MATCH(F389,Probabilitas!$A$27:$A$28,0))</x:f>
        <x:v>0.14007046891746672</x:v>
      </x:c>
      <x:c r="J389" s="26" t="n">
        <x:f>IFERROR(H389/(H389+I389),0)</x:f>
        <x:v>0.000030716211276168776</x:v>
      </x:c>
      <x:c r="K389" s="26" t="n">
        <x:f>IFERROR(I389/(H389+I389),0)</x:f>
        <x:v>0.999969283788724</x:v>
      </x:c>
      <x:c r="L389" s="24" t="str">
        <x:f>IF(J389&gt;=K389,"Minat","Tidak minat")</x:f>
        <x:v>Tidak minat</x:v>
      </x:c>
      <x:c r="M389" s="24" t="str">
        <x:f>IF(L389=G389,"Sesuai label latih","Berbeda dari label latih")</x:f>
        <x:v>Sesuai label latih</x:v>
      </x:c>
    </x:row>
    <x:row r="390">
      <x:c r="A390" s="24" t="n">
        <x:v>389</x:v>
      </x:c>
      <x:c r="B390" s="24" t="str">
        <x:v>TSM3-L-004</x:v>
      </x:c>
      <x:c r="C390" s="24" t="str">
        <x:v>Siswa TSM3 L-004</x:v>
      </x:c>
      <x:c r="D390" s="24" t="str">
        <x:v>TSM / Teknik Sepeda Motor</x:v>
      </x:c>
      <x:c r="E390" s="24" t="str">
        <x:v>TSM 3</x:v>
      </x:c>
      <x:c r="F390" s="24" t="str">
        <x:v>Laki-laki</x:v>
      </x:c>
      <x:c r="G390" s="24" t="str">
        <x:v>Tidak minat</x:v>
      </x:c>
      <x:c r="H390" s="26" t="n">
        <x:f>Probabilitas!$C$4*INDEX(Probabilitas!$C$10:$C$11,MATCH(D390,Probabilitas!$A$10:$A$11,0))*INDEX(Probabilitas!$C$16:$C$22,MATCH(E390,Probabilitas!$A$16:$A$22,0))*INDEX(Probabilitas!$C$27:$C$28,MATCH(F390,Probabilitas!$A$27:$A$28,0))</x:f>
        <x:v>0.0000043025662753556825</x:v>
      </x:c>
      <x:c r="I390" s="26" t="n">
        <x:f>Probabilitas!$C$5*INDEX(Probabilitas!$E$10:$E$11,MATCH(D390,Probabilitas!$A$10:$A$11,0))*INDEX(Probabilitas!$E$16:$E$22,MATCH(E390,Probabilitas!$A$16:$A$22,0))*INDEX(Probabilitas!$E$27:$E$28,MATCH(F390,Probabilitas!$A$27:$A$28,0))</x:f>
        <x:v>0.14007046891746672</x:v>
      </x:c>
      <x:c r="J390" s="26" t="n">
        <x:f>IFERROR(H390/(H390+I390),0)</x:f>
        <x:v>0.000030716211276168776</x:v>
      </x:c>
      <x:c r="K390" s="26" t="n">
        <x:f>IFERROR(I390/(H390+I390),0)</x:f>
        <x:v>0.999969283788724</x:v>
      </x:c>
      <x:c r="L390" s="24" t="str">
        <x:f>IF(J390&gt;=K390,"Minat","Tidak minat")</x:f>
        <x:v>Tidak minat</x:v>
      </x:c>
      <x:c r="M390" s="24" t="str">
        <x:f>IF(L390=G390,"Sesuai label latih","Berbeda dari label latih")</x:f>
        <x:v>Sesuai label latih</x:v>
      </x:c>
    </x:row>
    <x:row r="391">
      <x:c r="A391" s="24" t="n">
        <x:v>390</x:v>
      </x:c>
      <x:c r="B391" s="24" t="str">
        <x:v>TSM3-L-005</x:v>
      </x:c>
      <x:c r="C391" s="24" t="str">
        <x:v>Siswa TSM3 L-005</x:v>
      </x:c>
      <x:c r="D391" s="24" t="str">
        <x:v>TSM / Teknik Sepeda Motor</x:v>
      </x:c>
      <x:c r="E391" s="24" t="str">
        <x:v>TSM 3</x:v>
      </x:c>
      <x:c r="F391" s="24" t="str">
        <x:v>Laki-laki</x:v>
      </x:c>
      <x:c r="G391" s="24" t="str">
        <x:v>Tidak minat</x:v>
      </x:c>
      <x:c r="H391" s="26" t="n">
        <x:f>Probabilitas!$C$4*INDEX(Probabilitas!$C$10:$C$11,MATCH(D391,Probabilitas!$A$10:$A$11,0))*INDEX(Probabilitas!$C$16:$C$22,MATCH(E391,Probabilitas!$A$16:$A$22,0))*INDEX(Probabilitas!$C$27:$C$28,MATCH(F391,Probabilitas!$A$27:$A$28,0))</x:f>
        <x:v>0.0000043025662753556825</x:v>
      </x:c>
      <x:c r="I391" s="26" t="n">
        <x:f>Probabilitas!$C$5*INDEX(Probabilitas!$E$10:$E$11,MATCH(D391,Probabilitas!$A$10:$A$11,0))*INDEX(Probabilitas!$E$16:$E$22,MATCH(E391,Probabilitas!$A$16:$A$22,0))*INDEX(Probabilitas!$E$27:$E$28,MATCH(F391,Probabilitas!$A$27:$A$28,0))</x:f>
        <x:v>0.14007046891746672</x:v>
      </x:c>
      <x:c r="J391" s="26" t="n">
        <x:f>IFERROR(H391/(H391+I391),0)</x:f>
        <x:v>0.000030716211276168776</x:v>
      </x:c>
      <x:c r="K391" s="26" t="n">
        <x:f>IFERROR(I391/(H391+I391),0)</x:f>
        <x:v>0.999969283788724</x:v>
      </x:c>
      <x:c r="L391" s="24" t="str">
        <x:f>IF(J391&gt;=K391,"Minat","Tidak minat")</x:f>
        <x:v>Tidak minat</x:v>
      </x:c>
      <x:c r="M391" s="24" t="str">
        <x:f>IF(L391=G391,"Sesuai label latih","Berbeda dari label latih")</x:f>
        <x:v>Sesuai label latih</x:v>
      </x:c>
    </x:row>
    <x:row r="392">
      <x:c r="A392" s="24" t="n">
        <x:v>391</x:v>
      </x:c>
      <x:c r="B392" s="24" t="str">
        <x:v>TSM3-L-006</x:v>
      </x:c>
      <x:c r="C392" s="24" t="str">
        <x:v>Siswa TSM3 L-006</x:v>
      </x:c>
      <x:c r="D392" s="24" t="str">
        <x:v>TSM / Teknik Sepeda Motor</x:v>
      </x:c>
      <x:c r="E392" s="24" t="str">
        <x:v>TSM 3</x:v>
      </x:c>
      <x:c r="F392" s="24" t="str">
        <x:v>Laki-laki</x:v>
      </x:c>
      <x:c r="G392" s="24" t="str">
        <x:v>Tidak minat</x:v>
      </x:c>
      <x:c r="H392" s="26" t="n">
        <x:f>Probabilitas!$C$4*INDEX(Probabilitas!$C$10:$C$11,MATCH(D392,Probabilitas!$A$10:$A$11,0))*INDEX(Probabilitas!$C$16:$C$22,MATCH(E392,Probabilitas!$A$16:$A$22,0))*INDEX(Probabilitas!$C$27:$C$28,MATCH(F392,Probabilitas!$A$27:$A$28,0))</x:f>
        <x:v>0.0000043025662753556825</x:v>
      </x:c>
      <x:c r="I392" s="26" t="n">
        <x:f>Probabilitas!$C$5*INDEX(Probabilitas!$E$10:$E$11,MATCH(D392,Probabilitas!$A$10:$A$11,0))*INDEX(Probabilitas!$E$16:$E$22,MATCH(E392,Probabilitas!$A$16:$A$22,0))*INDEX(Probabilitas!$E$27:$E$28,MATCH(F392,Probabilitas!$A$27:$A$28,0))</x:f>
        <x:v>0.14007046891746672</x:v>
      </x:c>
      <x:c r="J392" s="26" t="n">
        <x:f>IFERROR(H392/(H392+I392),0)</x:f>
        <x:v>0.000030716211276168776</x:v>
      </x:c>
      <x:c r="K392" s="26" t="n">
        <x:f>IFERROR(I392/(H392+I392),0)</x:f>
        <x:v>0.999969283788724</x:v>
      </x:c>
      <x:c r="L392" s="24" t="str">
        <x:f>IF(J392&gt;=K392,"Minat","Tidak minat")</x:f>
        <x:v>Tidak minat</x:v>
      </x:c>
      <x:c r="M392" s="24" t="str">
        <x:f>IF(L392=G392,"Sesuai label latih","Berbeda dari label latih")</x:f>
        <x:v>Sesuai label latih</x:v>
      </x:c>
    </x:row>
    <x:row r="393">
      <x:c r="A393" s="24" t="n">
        <x:v>392</x:v>
      </x:c>
      <x:c r="B393" s="24" t="str">
        <x:v>TSM3-L-007</x:v>
      </x:c>
      <x:c r="C393" s="24" t="str">
        <x:v>Siswa TSM3 L-007</x:v>
      </x:c>
      <x:c r="D393" s="24" t="str">
        <x:v>TSM / Teknik Sepeda Motor</x:v>
      </x:c>
      <x:c r="E393" s="24" t="str">
        <x:v>TSM 3</x:v>
      </x:c>
      <x:c r="F393" s="24" t="str">
        <x:v>Laki-laki</x:v>
      </x:c>
      <x:c r="G393" s="24" t="str">
        <x:v>Tidak minat</x:v>
      </x:c>
      <x:c r="H393" s="26" t="n">
        <x:f>Probabilitas!$C$4*INDEX(Probabilitas!$C$10:$C$11,MATCH(D393,Probabilitas!$A$10:$A$11,0))*INDEX(Probabilitas!$C$16:$C$22,MATCH(E393,Probabilitas!$A$16:$A$22,0))*INDEX(Probabilitas!$C$27:$C$28,MATCH(F393,Probabilitas!$A$27:$A$28,0))</x:f>
        <x:v>0.0000043025662753556825</x:v>
      </x:c>
      <x:c r="I393" s="26" t="n">
        <x:f>Probabilitas!$C$5*INDEX(Probabilitas!$E$10:$E$11,MATCH(D393,Probabilitas!$A$10:$A$11,0))*INDEX(Probabilitas!$E$16:$E$22,MATCH(E393,Probabilitas!$A$16:$A$22,0))*INDEX(Probabilitas!$E$27:$E$28,MATCH(F393,Probabilitas!$A$27:$A$28,0))</x:f>
        <x:v>0.14007046891746672</x:v>
      </x:c>
      <x:c r="J393" s="26" t="n">
        <x:f>IFERROR(H393/(H393+I393),0)</x:f>
        <x:v>0.000030716211276168776</x:v>
      </x:c>
      <x:c r="K393" s="26" t="n">
        <x:f>IFERROR(I393/(H393+I393),0)</x:f>
        <x:v>0.999969283788724</x:v>
      </x:c>
      <x:c r="L393" s="24" t="str">
        <x:f>IF(J393&gt;=K393,"Minat","Tidak minat")</x:f>
        <x:v>Tidak minat</x:v>
      </x:c>
      <x:c r="M393" s="24" t="str">
        <x:f>IF(L393=G393,"Sesuai label latih","Berbeda dari label latih")</x:f>
        <x:v>Sesuai label latih</x:v>
      </x:c>
    </x:row>
    <x:row r="394">
      <x:c r="A394" s="24" t="n">
        <x:v>393</x:v>
      </x:c>
      <x:c r="B394" s="24" t="str">
        <x:v>TSM3-L-008</x:v>
      </x:c>
      <x:c r="C394" s="24" t="str">
        <x:v>Siswa TSM3 L-008</x:v>
      </x:c>
      <x:c r="D394" s="24" t="str">
        <x:v>TSM / Teknik Sepeda Motor</x:v>
      </x:c>
      <x:c r="E394" s="24" t="str">
        <x:v>TSM 3</x:v>
      </x:c>
      <x:c r="F394" s="24" t="str">
        <x:v>Laki-laki</x:v>
      </x:c>
      <x:c r="G394" s="24" t="str">
        <x:v>Tidak minat</x:v>
      </x:c>
      <x:c r="H394" s="26" t="n">
        <x:f>Probabilitas!$C$4*INDEX(Probabilitas!$C$10:$C$11,MATCH(D394,Probabilitas!$A$10:$A$11,0))*INDEX(Probabilitas!$C$16:$C$22,MATCH(E394,Probabilitas!$A$16:$A$22,0))*INDEX(Probabilitas!$C$27:$C$28,MATCH(F394,Probabilitas!$A$27:$A$28,0))</x:f>
        <x:v>0.0000043025662753556825</x:v>
      </x:c>
      <x:c r="I394" s="26" t="n">
        <x:f>Probabilitas!$C$5*INDEX(Probabilitas!$E$10:$E$11,MATCH(D394,Probabilitas!$A$10:$A$11,0))*INDEX(Probabilitas!$E$16:$E$22,MATCH(E394,Probabilitas!$A$16:$A$22,0))*INDEX(Probabilitas!$E$27:$E$28,MATCH(F394,Probabilitas!$A$27:$A$28,0))</x:f>
        <x:v>0.14007046891746672</x:v>
      </x:c>
      <x:c r="J394" s="26" t="n">
        <x:f>IFERROR(H394/(H394+I394),0)</x:f>
        <x:v>0.000030716211276168776</x:v>
      </x:c>
      <x:c r="K394" s="26" t="n">
        <x:f>IFERROR(I394/(H394+I394),0)</x:f>
        <x:v>0.999969283788724</x:v>
      </x:c>
      <x:c r="L394" s="24" t="str">
        <x:f>IF(J394&gt;=K394,"Minat","Tidak minat")</x:f>
        <x:v>Tidak minat</x:v>
      </x:c>
      <x:c r="M394" s="24" t="str">
        <x:f>IF(L394=G394,"Sesuai label latih","Berbeda dari label latih")</x:f>
        <x:v>Sesuai label latih</x:v>
      </x:c>
    </x:row>
    <x:row r="395">
      <x:c r="A395" s="24" t="n">
        <x:v>394</x:v>
      </x:c>
      <x:c r="B395" s="24" t="str">
        <x:v>TSM3-L-009</x:v>
      </x:c>
      <x:c r="C395" s="24" t="str">
        <x:v>Siswa TSM3 L-009</x:v>
      </x:c>
      <x:c r="D395" s="24" t="str">
        <x:v>TSM / Teknik Sepeda Motor</x:v>
      </x:c>
      <x:c r="E395" s="24" t="str">
        <x:v>TSM 3</x:v>
      </x:c>
      <x:c r="F395" s="24" t="str">
        <x:v>Laki-laki</x:v>
      </x:c>
      <x:c r="G395" s="24" t="str">
        <x:v>Tidak minat</x:v>
      </x:c>
      <x:c r="H395" s="26" t="n">
        <x:f>Probabilitas!$C$4*INDEX(Probabilitas!$C$10:$C$11,MATCH(D395,Probabilitas!$A$10:$A$11,0))*INDEX(Probabilitas!$C$16:$C$22,MATCH(E395,Probabilitas!$A$16:$A$22,0))*INDEX(Probabilitas!$C$27:$C$28,MATCH(F395,Probabilitas!$A$27:$A$28,0))</x:f>
        <x:v>0.0000043025662753556825</x:v>
      </x:c>
      <x:c r="I395" s="26" t="n">
        <x:f>Probabilitas!$C$5*INDEX(Probabilitas!$E$10:$E$11,MATCH(D395,Probabilitas!$A$10:$A$11,0))*INDEX(Probabilitas!$E$16:$E$22,MATCH(E395,Probabilitas!$A$16:$A$22,0))*INDEX(Probabilitas!$E$27:$E$28,MATCH(F395,Probabilitas!$A$27:$A$28,0))</x:f>
        <x:v>0.14007046891746672</x:v>
      </x:c>
      <x:c r="J395" s="26" t="n">
        <x:f>IFERROR(H395/(H395+I395),0)</x:f>
        <x:v>0.000030716211276168776</x:v>
      </x:c>
      <x:c r="K395" s="26" t="n">
        <x:f>IFERROR(I395/(H395+I395),0)</x:f>
        <x:v>0.999969283788724</x:v>
      </x:c>
      <x:c r="L395" s="24" t="str">
        <x:f>IF(J395&gt;=K395,"Minat","Tidak minat")</x:f>
        <x:v>Tidak minat</x:v>
      </x:c>
      <x:c r="M395" s="24" t="str">
        <x:f>IF(L395=G395,"Sesuai label latih","Berbeda dari label latih")</x:f>
        <x:v>Sesuai label latih</x:v>
      </x:c>
    </x:row>
    <x:row r="396">
      <x:c r="A396" s="24" t="n">
        <x:v>395</x:v>
      </x:c>
      <x:c r="B396" s="24" t="str">
        <x:v>TSM3-L-010</x:v>
      </x:c>
      <x:c r="C396" s="24" t="str">
        <x:v>Siswa TSM3 L-010</x:v>
      </x:c>
      <x:c r="D396" s="24" t="str">
        <x:v>TSM / Teknik Sepeda Motor</x:v>
      </x:c>
      <x:c r="E396" s="24" t="str">
        <x:v>TSM 3</x:v>
      </x:c>
      <x:c r="F396" s="24" t="str">
        <x:v>Laki-laki</x:v>
      </x:c>
      <x:c r="G396" s="24" t="str">
        <x:v>Tidak minat</x:v>
      </x:c>
      <x:c r="H396" s="26" t="n">
        <x:f>Probabilitas!$C$4*INDEX(Probabilitas!$C$10:$C$11,MATCH(D396,Probabilitas!$A$10:$A$11,0))*INDEX(Probabilitas!$C$16:$C$22,MATCH(E396,Probabilitas!$A$16:$A$22,0))*INDEX(Probabilitas!$C$27:$C$28,MATCH(F396,Probabilitas!$A$27:$A$28,0))</x:f>
        <x:v>0.0000043025662753556825</x:v>
      </x:c>
      <x:c r="I396" s="26" t="n">
        <x:f>Probabilitas!$C$5*INDEX(Probabilitas!$E$10:$E$11,MATCH(D396,Probabilitas!$A$10:$A$11,0))*INDEX(Probabilitas!$E$16:$E$22,MATCH(E396,Probabilitas!$A$16:$A$22,0))*INDEX(Probabilitas!$E$27:$E$28,MATCH(F396,Probabilitas!$A$27:$A$28,0))</x:f>
        <x:v>0.14007046891746672</x:v>
      </x:c>
      <x:c r="J396" s="26" t="n">
        <x:f>IFERROR(H396/(H396+I396),0)</x:f>
        <x:v>0.000030716211276168776</x:v>
      </x:c>
      <x:c r="K396" s="26" t="n">
        <x:f>IFERROR(I396/(H396+I396),0)</x:f>
        <x:v>0.999969283788724</x:v>
      </x:c>
      <x:c r="L396" s="24" t="str">
        <x:f>IF(J396&gt;=K396,"Minat","Tidak minat")</x:f>
        <x:v>Tidak minat</x:v>
      </x:c>
      <x:c r="M396" s="24" t="str">
        <x:f>IF(L396=G396,"Sesuai label latih","Berbeda dari label latih")</x:f>
        <x:v>Sesuai label latih</x:v>
      </x:c>
    </x:row>
    <x:row r="397">
      <x:c r="A397" s="24" t="n">
        <x:v>396</x:v>
      </x:c>
      <x:c r="B397" s="24" t="str">
        <x:v>TSM3-L-011</x:v>
      </x:c>
      <x:c r="C397" s="24" t="str">
        <x:v>Siswa TSM3 L-011</x:v>
      </x:c>
      <x:c r="D397" s="24" t="str">
        <x:v>TSM / Teknik Sepeda Motor</x:v>
      </x:c>
      <x:c r="E397" s="24" t="str">
        <x:v>TSM 3</x:v>
      </x:c>
      <x:c r="F397" s="24" t="str">
        <x:v>Laki-laki</x:v>
      </x:c>
      <x:c r="G397" s="24" t="str">
        <x:v>Tidak minat</x:v>
      </x:c>
      <x:c r="H397" s="26" t="n">
        <x:f>Probabilitas!$C$4*INDEX(Probabilitas!$C$10:$C$11,MATCH(D397,Probabilitas!$A$10:$A$11,0))*INDEX(Probabilitas!$C$16:$C$22,MATCH(E397,Probabilitas!$A$16:$A$22,0))*INDEX(Probabilitas!$C$27:$C$28,MATCH(F397,Probabilitas!$A$27:$A$28,0))</x:f>
        <x:v>0.0000043025662753556825</x:v>
      </x:c>
      <x:c r="I397" s="26" t="n">
        <x:f>Probabilitas!$C$5*INDEX(Probabilitas!$E$10:$E$11,MATCH(D397,Probabilitas!$A$10:$A$11,0))*INDEX(Probabilitas!$E$16:$E$22,MATCH(E397,Probabilitas!$A$16:$A$22,0))*INDEX(Probabilitas!$E$27:$E$28,MATCH(F397,Probabilitas!$A$27:$A$28,0))</x:f>
        <x:v>0.14007046891746672</x:v>
      </x:c>
      <x:c r="J397" s="26" t="n">
        <x:f>IFERROR(H397/(H397+I397),0)</x:f>
        <x:v>0.000030716211276168776</x:v>
      </x:c>
      <x:c r="K397" s="26" t="n">
        <x:f>IFERROR(I397/(H397+I397),0)</x:f>
        <x:v>0.999969283788724</x:v>
      </x:c>
      <x:c r="L397" s="24" t="str">
        <x:f>IF(J397&gt;=K397,"Minat","Tidak minat")</x:f>
        <x:v>Tidak minat</x:v>
      </x:c>
      <x:c r="M397" s="24" t="str">
        <x:f>IF(L397=G397,"Sesuai label latih","Berbeda dari label latih")</x:f>
        <x:v>Sesuai label latih</x:v>
      </x:c>
    </x:row>
    <x:row r="398">
      <x:c r="A398" s="24" t="n">
        <x:v>397</x:v>
      </x:c>
      <x:c r="B398" s="24" t="str">
        <x:v>TSM3-L-012</x:v>
      </x:c>
      <x:c r="C398" s="24" t="str">
        <x:v>Siswa TSM3 L-012</x:v>
      </x:c>
      <x:c r="D398" s="24" t="str">
        <x:v>TSM / Teknik Sepeda Motor</x:v>
      </x:c>
      <x:c r="E398" s="24" t="str">
        <x:v>TSM 3</x:v>
      </x:c>
      <x:c r="F398" s="24" t="str">
        <x:v>Laki-laki</x:v>
      </x:c>
      <x:c r="G398" s="24" t="str">
        <x:v>Tidak minat</x:v>
      </x:c>
      <x:c r="H398" s="26" t="n">
        <x:f>Probabilitas!$C$4*INDEX(Probabilitas!$C$10:$C$11,MATCH(D398,Probabilitas!$A$10:$A$11,0))*INDEX(Probabilitas!$C$16:$C$22,MATCH(E398,Probabilitas!$A$16:$A$22,0))*INDEX(Probabilitas!$C$27:$C$28,MATCH(F398,Probabilitas!$A$27:$A$28,0))</x:f>
        <x:v>0.0000043025662753556825</x:v>
      </x:c>
      <x:c r="I398" s="26" t="n">
        <x:f>Probabilitas!$C$5*INDEX(Probabilitas!$E$10:$E$11,MATCH(D398,Probabilitas!$A$10:$A$11,0))*INDEX(Probabilitas!$E$16:$E$22,MATCH(E398,Probabilitas!$A$16:$A$22,0))*INDEX(Probabilitas!$E$27:$E$28,MATCH(F398,Probabilitas!$A$27:$A$28,0))</x:f>
        <x:v>0.14007046891746672</x:v>
      </x:c>
      <x:c r="J398" s="26" t="n">
        <x:f>IFERROR(H398/(H398+I398),0)</x:f>
        <x:v>0.000030716211276168776</x:v>
      </x:c>
      <x:c r="K398" s="26" t="n">
        <x:f>IFERROR(I398/(H398+I398),0)</x:f>
        <x:v>0.999969283788724</x:v>
      </x:c>
      <x:c r="L398" s="24" t="str">
        <x:f>IF(J398&gt;=K398,"Minat","Tidak minat")</x:f>
        <x:v>Tidak minat</x:v>
      </x:c>
      <x:c r="M398" s="24" t="str">
        <x:f>IF(L398=G398,"Sesuai label latih","Berbeda dari label latih")</x:f>
        <x:v>Sesuai label latih</x:v>
      </x:c>
    </x:row>
    <x:row r="399">
      <x:c r="A399" s="24" t="n">
        <x:v>398</x:v>
      </x:c>
      <x:c r="B399" s="24" t="str">
        <x:v>TSM3-L-013</x:v>
      </x:c>
      <x:c r="C399" s="24" t="str">
        <x:v>Siswa TSM3 L-013</x:v>
      </x:c>
      <x:c r="D399" s="24" t="str">
        <x:v>TSM / Teknik Sepeda Motor</x:v>
      </x:c>
      <x:c r="E399" s="24" t="str">
        <x:v>TSM 3</x:v>
      </x:c>
      <x:c r="F399" s="24" t="str">
        <x:v>Laki-laki</x:v>
      </x:c>
      <x:c r="G399" s="24" t="str">
        <x:v>Tidak minat</x:v>
      </x:c>
      <x:c r="H399" s="26" t="n">
        <x:f>Probabilitas!$C$4*INDEX(Probabilitas!$C$10:$C$11,MATCH(D399,Probabilitas!$A$10:$A$11,0))*INDEX(Probabilitas!$C$16:$C$22,MATCH(E399,Probabilitas!$A$16:$A$22,0))*INDEX(Probabilitas!$C$27:$C$28,MATCH(F399,Probabilitas!$A$27:$A$28,0))</x:f>
        <x:v>0.0000043025662753556825</x:v>
      </x:c>
      <x:c r="I399" s="26" t="n">
        <x:f>Probabilitas!$C$5*INDEX(Probabilitas!$E$10:$E$11,MATCH(D399,Probabilitas!$A$10:$A$11,0))*INDEX(Probabilitas!$E$16:$E$22,MATCH(E399,Probabilitas!$A$16:$A$22,0))*INDEX(Probabilitas!$E$27:$E$28,MATCH(F399,Probabilitas!$A$27:$A$28,0))</x:f>
        <x:v>0.14007046891746672</x:v>
      </x:c>
      <x:c r="J399" s="26" t="n">
        <x:f>IFERROR(H399/(H399+I399),0)</x:f>
        <x:v>0.000030716211276168776</x:v>
      </x:c>
      <x:c r="K399" s="26" t="n">
        <x:f>IFERROR(I399/(H399+I399),0)</x:f>
        <x:v>0.999969283788724</x:v>
      </x:c>
      <x:c r="L399" s="24" t="str">
        <x:f>IF(J399&gt;=K399,"Minat","Tidak minat")</x:f>
        <x:v>Tidak minat</x:v>
      </x:c>
      <x:c r="M399" s="24" t="str">
        <x:f>IF(L399=G399,"Sesuai label latih","Berbeda dari label latih")</x:f>
        <x:v>Sesuai label latih</x:v>
      </x:c>
    </x:row>
    <x:row r="400">
      <x:c r="A400" s="24" t="n">
        <x:v>399</x:v>
      </x:c>
      <x:c r="B400" s="24" t="str">
        <x:v>TSM3-L-014</x:v>
      </x:c>
      <x:c r="C400" s="24" t="str">
        <x:v>Siswa TSM3 L-014</x:v>
      </x:c>
      <x:c r="D400" s="24" t="str">
        <x:v>TSM / Teknik Sepeda Motor</x:v>
      </x:c>
      <x:c r="E400" s="24" t="str">
        <x:v>TSM 3</x:v>
      </x:c>
      <x:c r="F400" s="24" t="str">
        <x:v>Laki-laki</x:v>
      </x:c>
      <x:c r="G400" s="24" t="str">
        <x:v>Tidak minat</x:v>
      </x:c>
      <x:c r="H400" s="26" t="n">
        <x:f>Probabilitas!$C$4*INDEX(Probabilitas!$C$10:$C$11,MATCH(D400,Probabilitas!$A$10:$A$11,0))*INDEX(Probabilitas!$C$16:$C$22,MATCH(E400,Probabilitas!$A$16:$A$22,0))*INDEX(Probabilitas!$C$27:$C$28,MATCH(F400,Probabilitas!$A$27:$A$28,0))</x:f>
        <x:v>0.0000043025662753556825</x:v>
      </x:c>
      <x:c r="I400" s="26" t="n">
        <x:f>Probabilitas!$C$5*INDEX(Probabilitas!$E$10:$E$11,MATCH(D400,Probabilitas!$A$10:$A$11,0))*INDEX(Probabilitas!$E$16:$E$22,MATCH(E400,Probabilitas!$A$16:$A$22,0))*INDEX(Probabilitas!$E$27:$E$28,MATCH(F400,Probabilitas!$A$27:$A$28,0))</x:f>
        <x:v>0.14007046891746672</x:v>
      </x:c>
      <x:c r="J400" s="26" t="n">
        <x:f>IFERROR(H400/(H400+I400),0)</x:f>
        <x:v>0.000030716211276168776</x:v>
      </x:c>
      <x:c r="K400" s="26" t="n">
        <x:f>IFERROR(I400/(H400+I400),0)</x:f>
        <x:v>0.999969283788724</x:v>
      </x:c>
      <x:c r="L400" s="24" t="str">
        <x:f>IF(J400&gt;=K400,"Minat","Tidak minat")</x:f>
        <x:v>Tidak minat</x:v>
      </x:c>
      <x:c r="M400" s="24" t="str">
        <x:f>IF(L400=G400,"Sesuai label latih","Berbeda dari label latih")</x:f>
        <x:v>Sesuai label latih</x:v>
      </x:c>
    </x:row>
    <x:row r="401">
      <x:c r="A401" s="24" t="n">
        <x:v>400</x:v>
      </x:c>
      <x:c r="B401" s="24" t="str">
        <x:v>TSM3-L-015</x:v>
      </x:c>
      <x:c r="C401" s="24" t="str">
        <x:v>Siswa TSM3 L-015</x:v>
      </x:c>
      <x:c r="D401" s="24" t="str">
        <x:v>TSM / Teknik Sepeda Motor</x:v>
      </x:c>
      <x:c r="E401" s="24" t="str">
        <x:v>TSM 3</x:v>
      </x:c>
      <x:c r="F401" s="24" t="str">
        <x:v>Laki-laki</x:v>
      </x:c>
      <x:c r="G401" s="24" t="str">
        <x:v>Tidak minat</x:v>
      </x:c>
      <x:c r="H401" s="26" t="n">
        <x:f>Probabilitas!$C$4*INDEX(Probabilitas!$C$10:$C$11,MATCH(D401,Probabilitas!$A$10:$A$11,0))*INDEX(Probabilitas!$C$16:$C$22,MATCH(E401,Probabilitas!$A$16:$A$22,0))*INDEX(Probabilitas!$C$27:$C$28,MATCH(F401,Probabilitas!$A$27:$A$28,0))</x:f>
        <x:v>0.0000043025662753556825</x:v>
      </x:c>
      <x:c r="I401" s="26" t="n">
        <x:f>Probabilitas!$C$5*INDEX(Probabilitas!$E$10:$E$11,MATCH(D401,Probabilitas!$A$10:$A$11,0))*INDEX(Probabilitas!$E$16:$E$22,MATCH(E401,Probabilitas!$A$16:$A$22,0))*INDEX(Probabilitas!$E$27:$E$28,MATCH(F401,Probabilitas!$A$27:$A$28,0))</x:f>
        <x:v>0.14007046891746672</x:v>
      </x:c>
      <x:c r="J401" s="26" t="n">
        <x:f>IFERROR(H401/(H401+I401),0)</x:f>
        <x:v>0.000030716211276168776</x:v>
      </x:c>
      <x:c r="K401" s="26" t="n">
        <x:f>IFERROR(I401/(H401+I401),0)</x:f>
        <x:v>0.999969283788724</x:v>
      </x:c>
      <x:c r="L401" s="24" t="str">
        <x:f>IF(J401&gt;=K401,"Minat","Tidak minat")</x:f>
        <x:v>Tidak minat</x:v>
      </x:c>
      <x:c r="M401" s="24" t="str">
        <x:f>IF(L401=G401,"Sesuai label latih","Berbeda dari label latih")</x:f>
        <x:v>Sesuai label latih</x:v>
      </x:c>
    </x:row>
    <x:row r="402">
      <x:c r="A402" s="24" t="n">
        <x:v>401</x:v>
      </x:c>
      <x:c r="B402" s="24" t="str">
        <x:v>TSM3-L-016</x:v>
      </x:c>
      <x:c r="C402" s="24" t="str">
        <x:v>Siswa TSM3 L-016</x:v>
      </x:c>
      <x:c r="D402" s="24" t="str">
        <x:v>TSM / Teknik Sepeda Motor</x:v>
      </x:c>
      <x:c r="E402" s="24" t="str">
        <x:v>TSM 3</x:v>
      </x:c>
      <x:c r="F402" s="24" t="str">
        <x:v>Laki-laki</x:v>
      </x:c>
      <x:c r="G402" s="24" t="str">
        <x:v>Tidak minat</x:v>
      </x:c>
      <x:c r="H402" s="26" t="n">
        <x:f>Probabilitas!$C$4*INDEX(Probabilitas!$C$10:$C$11,MATCH(D402,Probabilitas!$A$10:$A$11,0))*INDEX(Probabilitas!$C$16:$C$22,MATCH(E402,Probabilitas!$A$16:$A$22,0))*INDEX(Probabilitas!$C$27:$C$28,MATCH(F402,Probabilitas!$A$27:$A$28,0))</x:f>
        <x:v>0.0000043025662753556825</x:v>
      </x:c>
      <x:c r="I402" s="26" t="n">
        <x:f>Probabilitas!$C$5*INDEX(Probabilitas!$E$10:$E$11,MATCH(D402,Probabilitas!$A$10:$A$11,0))*INDEX(Probabilitas!$E$16:$E$22,MATCH(E402,Probabilitas!$A$16:$A$22,0))*INDEX(Probabilitas!$E$27:$E$28,MATCH(F402,Probabilitas!$A$27:$A$28,0))</x:f>
        <x:v>0.14007046891746672</x:v>
      </x:c>
      <x:c r="J402" s="26" t="n">
        <x:f>IFERROR(H402/(H402+I402),0)</x:f>
        <x:v>0.000030716211276168776</x:v>
      </x:c>
      <x:c r="K402" s="26" t="n">
        <x:f>IFERROR(I402/(H402+I402),0)</x:f>
        <x:v>0.999969283788724</x:v>
      </x:c>
      <x:c r="L402" s="24" t="str">
        <x:f>IF(J402&gt;=K402,"Minat","Tidak minat")</x:f>
        <x:v>Tidak minat</x:v>
      </x:c>
      <x:c r="M402" s="24" t="str">
        <x:f>IF(L402=G402,"Sesuai label latih","Berbeda dari label latih")</x:f>
        <x:v>Sesuai label latih</x:v>
      </x:c>
    </x:row>
    <x:row r="403">
      <x:c r="A403" s="24" t="n">
        <x:v>402</x:v>
      </x:c>
      <x:c r="B403" s="24" t="str">
        <x:v>TSM3-L-017</x:v>
      </x:c>
      <x:c r="C403" s="24" t="str">
        <x:v>Siswa TSM3 L-017</x:v>
      </x:c>
      <x:c r="D403" s="24" t="str">
        <x:v>TSM / Teknik Sepeda Motor</x:v>
      </x:c>
      <x:c r="E403" s="24" t="str">
        <x:v>TSM 3</x:v>
      </x:c>
      <x:c r="F403" s="24" t="str">
        <x:v>Laki-laki</x:v>
      </x:c>
      <x:c r="G403" s="24" t="str">
        <x:v>Tidak minat</x:v>
      </x:c>
      <x:c r="H403" s="26" t="n">
        <x:f>Probabilitas!$C$4*INDEX(Probabilitas!$C$10:$C$11,MATCH(D403,Probabilitas!$A$10:$A$11,0))*INDEX(Probabilitas!$C$16:$C$22,MATCH(E403,Probabilitas!$A$16:$A$22,0))*INDEX(Probabilitas!$C$27:$C$28,MATCH(F403,Probabilitas!$A$27:$A$28,0))</x:f>
        <x:v>0.0000043025662753556825</x:v>
      </x:c>
      <x:c r="I403" s="26" t="n">
        <x:f>Probabilitas!$C$5*INDEX(Probabilitas!$E$10:$E$11,MATCH(D403,Probabilitas!$A$10:$A$11,0))*INDEX(Probabilitas!$E$16:$E$22,MATCH(E403,Probabilitas!$A$16:$A$22,0))*INDEX(Probabilitas!$E$27:$E$28,MATCH(F403,Probabilitas!$A$27:$A$28,0))</x:f>
        <x:v>0.14007046891746672</x:v>
      </x:c>
      <x:c r="J403" s="26" t="n">
        <x:f>IFERROR(H403/(H403+I403),0)</x:f>
        <x:v>0.000030716211276168776</x:v>
      </x:c>
      <x:c r="K403" s="26" t="n">
        <x:f>IFERROR(I403/(H403+I403),0)</x:f>
        <x:v>0.999969283788724</x:v>
      </x:c>
      <x:c r="L403" s="24" t="str">
        <x:f>IF(J403&gt;=K403,"Minat","Tidak minat")</x:f>
        <x:v>Tidak minat</x:v>
      </x:c>
      <x:c r="M403" s="24" t="str">
        <x:f>IF(L403=G403,"Sesuai label latih","Berbeda dari label latih")</x:f>
        <x:v>Sesuai label latih</x:v>
      </x:c>
    </x:row>
    <x:row r="404">
      <x:c r="A404" s="24" t="n">
        <x:v>403</x:v>
      </x:c>
      <x:c r="B404" s="24" t="str">
        <x:v>TSM3-L-018</x:v>
      </x:c>
      <x:c r="C404" s="24" t="str">
        <x:v>Siswa TSM3 L-018</x:v>
      </x:c>
      <x:c r="D404" s="24" t="str">
        <x:v>TSM / Teknik Sepeda Motor</x:v>
      </x:c>
      <x:c r="E404" s="24" t="str">
        <x:v>TSM 3</x:v>
      </x:c>
      <x:c r="F404" s="24" t="str">
        <x:v>Laki-laki</x:v>
      </x:c>
      <x:c r="G404" s="24" t="str">
        <x:v>Tidak minat</x:v>
      </x:c>
      <x:c r="H404" s="26" t="n">
        <x:f>Probabilitas!$C$4*INDEX(Probabilitas!$C$10:$C$11,MATCH(D404,Probabilitas!$A$10:$A$11,0))*INDEX(Probabilitas!$C$16:$C$22,MATCH(E404,Probabilitas!$A$16:$A$22,0))*INDEX(Probabilitas!$C$27:$C$28,MATCH(F404,Probabilitas!$A$27:$A$28,0))</x:f>
        <x:v>0.0000043025662753556825</x:v>
      </x:c>
      <x:c r="I404" s="26" t="n">
        <x:f>Probabilitas!$C$5*INDEX(Probabilitas!$E$10:$E$11,MATCH(D404,Probabilitas!$A$10:$A$11,0))*INDEX(Probabilitas!$E$16:$E$22,MATCH(E404,Probabilitas!$A$16:$A$22,0))*INDEX(Probabilitas!$E$27:$E$28,MATCH(F404,Probabilitas!$A$27:$A$28,0))</x:f>
        <x:v>0.14007046891746672</x:v>
      </x:c>
      <x:c r="J404" s="26" t="n">
        <x:f>IFERROR(H404/(H404+I404),0)</x:f>
        <x:v>0.000030716211276168776</x:v>
      </x:c>
      <x:c r="K404" s="26" t="n">
        <x:f>IFERROR(I404/(H404+I404),0)</x:f>
        <x:v>0.999969283788724</x:v>
      </x:c>
      <x:c r="L404" s="24" t="str">
        <x:f>IF(J404&gt;=K404,"Minat","Tidak minat")</x:f>
        <x:v>Tidak minat</x:v>
      </x:c>
      <x:c r="M404" s="24" t="str">
        <x:f>IF(L404=G404,"Sesuai label latih","Berbeda dari label latih")</x:f>
        <x:v>Sesuai label latih</x:v>
      </x:c>
    </x:row>
    <x:row r="405">
      <x:c r="A405" s="24" t="n">
        <x:v>404</x:v>
      </x:c>
      <x:c r="B405" s="24" t="str">
        <x:v>TSM3-L-019</x:v>
      </x:c>
      <x:c r="C405" s="24" t="str">
        <x:v>Siswa TSM3 L-019</x:v>
      </x:c>
      <x:c r="D405" s="24" t="str">
        <x:v>TSM / Teknik Sepeda Motor</x:v>
      </x:c>
      <x:c r="E405" s="24" t="str">
        <x:v>TSM 3</x:v>
      </x:c>
      <x:c r="F405" s="24" t="str">
        <x:v>Laki-laki</x:v>
      </x:c>
      <x:c r="G405" s="24" t="str">
        <x:v>Tidak minat</x:v>
      </x:c>
      <x:c r="H405" s="26" t="n">
        <x:f>Probabilitas!$C$4*INDEX(Probabilitas!$C$10:$C$11,MATCH(D405,Probabilitas!$A$10:$A$11,0))*INDEX(Probabilitas!$C$16:$C$22,MATCH(E405,Probabilitas!$A$16:$A$22,0))*INDEX(Probabilitas!$C$27:$C$28,MATCH(F405,Probabilitas!$A$27:$A$28,0))</x:f>
        <x:v>0.0000043025662753556825</x:v>
      </x:c>
      <x:c r="I405" s="26" t="n">
        <x:f>Probabilitas!$C$5*INDEX(Probabilitas!$E$10:$E$11,MATCH(D405,Probabilitas!$A$10:$A$11,0))*INDEX(Probabilitas!$E$16:$E$22,MATCH(E405,Probabilitas!$A$16:$A$22,0))*INDEX(Probabilitas!$E$27:$E$28,MATCH(F405,Probabilitas!$A$27:$A$28,0))</x:f>
        <x:v>0.14007046891746672</x:v>
      </x:c>
      <x:c r="J405" s="26" t="n">
        <x:f>IFERROR(H405/(H405+I405),0)</x:f>
        <x:v>0.000030716211276168776</x:v>
      </x:c>
      <x:c r="K405" s="26" t="n">
        <x:f>IFERROR(I405/(H405+I405),0)</x:f>
        <x:v>0.999969283788724</x:v>
      </x:c>
      <x:c r="L405" s="24" t="str">
        <x:f>IF(J405&gt;=K405,"Minat","Tidak minat")</x:f>
        <x:v>Tidak minat</x:v>
      </x:c>
      <x:c r="M405" s="24" t="str">
        <x:f>IF(L405=G405,"Sesuai label latih","Berbeda dari label latih")</x:f>
        <x:v>Sesuai label latih</x:v>
      </x:c>
    </x:row>
    <x:row r="406">
      <x:c r="A406" s="24" t="n">
        <x:v>405</x:v>
      </x:c>
      <x:c r="B406" s="24" t="str">
        <x:v>TSM3-L-020</x:v>
      </x:c>
      <x:c r="C406" s="24" t="str">
        <x:v>Siswa TSM3 L-020</x:v>
      </x:c>
      <x:c r="D406" s="24" t="str">
        <x:v>TSM / Teknik Sepeda Motor</x:v>
      </x:c>
      <x:c r="E406" s="24" t="str">
        <x:v>TSM 3</x:v>
      </x:c>
      <x:c r="F406" s="24" t="str">
        <x:v>Laki-laki</x:v>
      </x:c>
      <x:c r="G406" s="24" t="str">
        <x:v>Tidak minat</x:v>
      </x:c>
      <x:c r="H406" s="26" t="n">
        <x:f>Probabilitas!$C$4*INDEX(Probabilitas!$C$10:$C$11,MATCH(D406,Probabilitas!$A$10:$A$11,0))*INDEX(Probabilitas!$C$16:$C$22,MATCH(E406,Probabilitas!$A$16:$A$22,0))*INDEX(Probabilitas!$C$27:$C$28,MATCH(F406,Probabilitas!$A$27:$A$28,0))</x:f>
        <x:v>0.0000043025662753556825</x:v>
      </x:c>
      <x:c r="I406" s="26" t="n">
        <x:f>Probabilitas!$C$5*INDEX(Probabilitas!$E$10:$E$11,MATCH(D406,Probabilitas!$A$10:$A$11,0))*INDEX(Probabilitas!$E$16:$E$22,MATCH(E406,Probabilitas!$A$16:$A$22,0))*INDEX(Probabilitas!$E$27:$E$28,MATCH(F406,Probabilitas!$A$27:$A$28,0))</x:f>
        <x:v>0.14007046891746672</x:v>
      </x:c>
      <x:c r="J406" s="26" t="n">
        <x:f>IFERROR(H406/(H406+I406),0)</x:f>
        <x:v>0.000030716211276168776</x:v>
      </x:c>
      <x:c r="K406" s="26" t="n">
        <x:f>IFERROR(I406/(H406+I406),0)</x:f>
        <x:v>0.999969283788724</x:v>
      </x:c>
      <x:c r="L406" s="24" t="str">
        <x:f>IF(J406&gt;=K406,"Minat","Tidak minat")</x:f>
        <x:v>Tidak minat</x:v>
      </x:c>
      <x:c r="M406" s="24" t="str">
        <x:f>IF(L406=G406,"Sesuai label latih","Berbeda dari label latih")</x:f>
        <x:v>Sesuai label latih</x:v>
      </x:c>
    </x:row>
    <x:row r="407">
      <x:c r="A407" s="24" t="n">
        <x:v>406</x:v>
      </x:c>
      <x:c r="B407" s="24" t="str">
        <x:v>TSM3-L-021</x:v>
      </x:c>
      <x:c r="C407" s="24" t="str">
        <x:v>Siswa TSM3 L-021</x:v>
      </x:c>
      <x:c r="D407" s="24" t="str">
        <x:v>TSM / Teknik Sepeda Motor</x:v>
      </x:c>
      <x:c r="E407" s="24" t="str">
        <x:v>TSM 3</x:v>
      </x:c>
      <x:c r="F407" s="24" t="str">
        <x:v>Laki-laki</x:v>
      </x:c>
      <x:c r="G407" s="24" t="str">
        <x:v>Tidak minat</x:v>
      </x:c>
      <x:c r="H407" s="26" t="n">
        <x:f>Probabilitas!$C$4*INDEX(Probabilitas!$C$10:$C$11,MATCH(D407,Probabilitas!$A$10:$A$11,0))*INDEX(Probabilitas!$C$16:$C$22,MATCH(E407,Probabilitas!$A$16:$A$22,0))*INDEX(Probabilitas!$C$27:$C$28,MATCH(F407,Probabilitas!$A$27:$A$28,0))</x:f>
        <x:v>0.0000043025662753556825</x:v>
      </x:c>
      <x:c r="I407" s="26" t="n">
        <x:f>Probabilitas!$C$5*INDEX(Probabilitas!$E$10:$E$11,MATCH(D407,Probabilitas!$A$10:$A$11,0))*INDEX(Probabilitas!$E$16:$E$22,MATCH(E407,Probabilitas!$A$16:$A$22,0))*INDEX(Probabilitas!$E$27:$E$28,MATCH(F407,Probabilitas!$A$27:$A$28,0))</x:f>
        <x:v>0.14007046891746672</x:v>
      </x:c>
      <x:c r="J407" s="26" t="n">
        <x:f>IFERROR(H407/(H407+I407),0)</x:f>
        <x:v>0.000030716211276168776</x:v>
      </x:c>
      <x:c r="K407" s="26" t="n">
        <x:f>IFERROR(I407/(H407+I407),0)</x:f>
        <x:v>0.999969283788724</x:v>
      </x:c>
      <x:c r="L407" s="24" t="str">
        <x:f>IF(J407&gt;=K407,"Minat","Tidak minat")</x:f>
        <x:v>Tidak minat</x:v>
      </x:c>
      <x:c r="M407" s="24" t="str">
        <x:f>IF(L407=G407,"Sesuai label latih","Berbeda dari label latih")</x:f>
        <x:v>Sesuai label latih</x:v>
      </x:c>
    </x:row>
    <x:row r="408">
      <x:c r="A408" s="24" t="n">
        <x:v>407</x:v>
      </x:c>
      <x:c r="B408" s="24" t="str">
        <x:v>TSM3-L-022</x:v>
      </x:c>
      <x:c r="C408" s="24" t="str">
        <x:v>Siswa TSM3 L-022</x:v>
      </x:c>
      <x:c r="D408" s="24" t="str">
        <x:v>TSM / Teknik Sepeda Motor</x:v>
      </x:c>
      <x:c r="E408" s="24" t="str">
        <x:v>TSM 3</x:v>
      </x:c>
      <x:c r="F408" s="24" t="str">
        <x:v>Laki-laki</x:v>
      </x:c>
      <x:c r="G408" s="24" t="str">
        <x:v>Tidak minat</x:v>
      </x:c>
      <x:c r="H408" s="26" t="n">
        <x:f>Probabilitas!$C$4*INDEX(Probabilitas!$C$10:$C$11,MATCH(D408,Probabilitas!$A$10:$A$11,0))*INDEX(Probabilitas!$C$16:$C$22,MATCH(E408,Probabilitas!$A$16:$A$22,0))*INDEX(Probabilitas!$C$27:$C$28,MATCH(F408,Probabilitas!$A$27:$A$28,0))</x:f>
        <x:v>0.0000043025662753556825</x:v>
      </x:c>
      <x:c r="I408" s="26" t="n">
        <x:f>Probabilitas!$C$5*INDEX(Probabilitas!$E$10:$E$11,MATCH(D408,Probabilitas!$A$10:$A$11,0))*INDEX(Probabilitas!$E$16:$E$22,MATCH(E408,Probabilitas!$A$16:$A$22,0))*INDEX(Probabilitas!$E$27:$E$28,MATCH(F408,Probabilitas!$A$27:$A$28,0))</x:f>
        <x:v>0.14007046891746672</x:v>
      </x:c>
      <x:c r="J408" s="26" t="n">
        <x:f>IFERROR(H408/(H408+I408),0)</x:f>
        <x:v>0.000030716211276168776</x:v>
      </x:c>
      <x:c r="K408" s="26" t="n">
        <x:f>IFERROR(I408/(H408+I408),0)</x:f>
        <x:v>0.999969283788724</x:v>
      </x:c>
      <x:c r="L408" s="24" t="str">
        <x:f>IF(J408&gt;=K408,"Minat","Tidak minat")</x:f>
        <x:v>Tidak minat</x:v>
      </x:c>
      <x:c r="M408" s="24" t="str">
        <x:f>IF(L408=G408,"Sesuai label latih","Berbeda dari label latih")</x:f>
        <x:v>Sesuai label latih</x:v>
      </x:c>
    </x:row>
    <x:row r="409">
      <x:c r="A409" s="24" t="n">
        <x:v>408</x:v>
      </x:c>
      <x:c r="B409" s="24" t="str">
        <x:v>TSM3-L-023</x:v>
      </x:c>
      <x:c r="C409" s="24" t="str">
        <x:v>Siswa TSM3 L-023</x:v>
      </x:c>
      <x:c r="D409" s="24" t="str">
        <x:v>TSM / Teknik Sepeda Motor</x:v>
      </x:c>
      <x:c r="E409" s="24" t="str">
        <x:v>TSM 3</x:v>
      </x:c>
      <x:c r="F409" s="24" t="str">
        <x:v>Laki-laki</x:v>
      </x:c>
      <x:c r="G409" s="24" t="str">
        <x:v>Tidak minat</x:v>
      </x:c>
      <x:c r="H409" s="26" t="n">
        <x:f>Probabilitas!$C$4*INDEX(Probabilitas!$C$10:$C$11,MATCH(D409,Probabilitas!$A$10:$A$11,0))*INDEX(Probabilitas!$C$16:$C$22,MATCH(E409,Probabilitas!$A$16:$A$22,0))*INDEX(Probabilitas!$C$27:$C$28,MATCH(F409,Probabilitas!$A$27:$A$28,0))</x:f>
        <x:v>0.0000043025662753556825</x:v>
      </x:c>
      <x:c r="I409" s="26" t="n">
        <x:f>Probabilitas!$C$5*INDEX(Probabilitas!$E$10:$E$11,MATCH(D409,Probabilitas!$A$10:$A$11,0))*INDEX(Probabilitas!$E$16:$E$22,MATCH(E409,Probabilitas!$A$16:$A$22,0))*INDEX(Probabilitas!$E$27:$E$28,MATCH(F409,Probabilitas!$A$27:$A$28,0))</x:f>
        <x:v>0.14007046891746672</x:v>
      </x:c>
      <x:c r="J409" s="26" t="n">
        <x:f>IFERROR(H409/(H409+I409),0)</x:f>
        <x:v>0.000030716211276168776</x:v>
      </x:c>
      <x:c r="K409" s="26" t="n">
        <x:f>IFERROR(I409/(H409+I409),0)</x:f>
        <x:v>0.999969283788724</x:v>
      </x:c>
      <x:c r="L409" s="24" t="str">
        <x:f>IF(J409&gt;=K409,"Minat","Tidak minat")</x:f>
        <x:v>Tidak minat</x:v>
      </x:c>
      <x:c r="M409" s="24" t="str">
        <x:f>IF(L409=G409,"Sesuai label latih","Berbeda dari label latih")</x:f>
        <x:v>Sesuai label latih</x:v>
      </x:c>
    </x:row>
    <x:row r="410">
      <x:c r="A410" s="24" t="n">
        <x:v>409</x:v>
      </x:c>
      <x:c r="B410" s="24" t="str">
        <x:v>TSM3-L-024</x:v>
      </x:c>
      <x:c r="C410" s="24" t="str">
        <x:v>Siswa TSM3 L-024</x:v>
      </x:c>
      <x:c r="D410" s="24" t="str">
        <x:v>TSM / Teknik Sepeda Motor</x:v>
      </x:c>
      <x:c r="E410" s="24" t="str">
        <x:v>TSM 3</x:v>
      </x:c>
      <x:c r="F410" s="24" t="str">
        <x:v>Laki-laki</x:v>
      </x:c>
      <x:c r="G410" s="24" t="str">
        <x:v>Tidak minat</x:v>
      </x:c>
      <x:c r="H410" s="26" t="n">
        <x:f>Probabilitas!$C$4*INDEX(Probabilitas!$C$10:$C$11,MATCH(D410,Probabilitas!$A$10:$A$11,0))*INDEX(Probabilitas!$C$16:$C$22,MATCH(E410,Probabilitas!$A$16:$A$22,0))*INDEX(Probabilitas!$C$27:$C$28,MATCH(F410,Probabilitas!$A$27:$A$28,0))</x:f>
        <x:v>0.0000043025662753556825</x:v>
      </x:c>
      <x:c r="I410" s="26" t="n">
        <x:f>Probabilitas!$C$5*INDEX(Probabilitas!$E$10:$E$11,MATCH(D410,Probabilitas!$A$10:$A$11,0))*INDEX(Probabilitas!$E$16:$E$22,MATCH(E410,Probabilitas!$A$16:$A$22,0))*INDEX(Probabilitas!$E$27:$E$28,MATCH(F410,Probabilitas!$A$27:$A$28,0))</x:f>
        <x:v>0.14007046891746672</x:v>
      </x:c>
      <x:c r="J410" s="26" t="n">
        <x:f>IFERROR(H410/(H410+I410),0)</x:f>
        <x:v>0.000030716211276168776</x:v>
      </x:c>
      <x:c r="K410" s="26" t="n">
        <x:f>IFERROR(I410/(H410+I410),0)</x:f>
        <x:v>0.999969283788724</x:v>
      </x:c>
      <x:c r="L410" s="24" t="str">
        <x:f>IF(J410&gt;=K410,"Minat","Tidak minat")</x:f>
        <x:v>Tidak minat</x:v>
      </x:c>
      <x:c r="M410" s="24" t="str">
        <x:f>IF(L410=G410,"Sesuai label latih","Berbeda dari label latih")</x:f>
        <x:v>Sesuai label latih</x:v>
      </x:c>
    </x:row>
    <x:row r="411">
      <x:c r="A411" s="24" t="n">
        <x:v>410</x:v>
      </x:c>
      <x:c r="B411" s="24" t="str">
        <x:v>TSM3-L-025</x:v>
      </x:c>
      <x:c r="C411" s="24" t="str">
        <x:v>Siswa TSM3 L-025</x:v>
      </x:c>
      <x:c r="D411" s="24" t="str">
        <x:v>TSM / Teknik Sepeda Motor</x:v>
      </x:c>
      <x:c r="E411" s="24" t="str">
        <x:v>TSM 3</x:v>
      </x:c>
      <x:c r="F411" s="24" t="str">
        <x:v>Laki-laki</x:v>
      </x:c>
      <x:c r="G411" s="24" t="str">
        <x:v>Tidak minat</x:v>
      </x:c>
      <x:c r="H411" s="26" t="n">
        <x:f>Probabilitas!$C$4*INDEX(Probabilitas!$C$10:$C$11,MATCH(D411,Probabilitas!$A$10:$A$11,0))*INDEX(Probabilitas!$C$16:$C$22,MATCH(E411,Probabilitas!$A$16:$A$22,0))*INDEX(Probabilitas!$C$27:$C$28,MATCH(F411,Probabilitas!$A$27:$A$28,0))</x:f>
        <x:v>0.0000043025662753556825</x:v>
      </x:c>
      <x:c r="I411" s="26" t="n">
        <x:f>Probabilitas!$C$5*INDEX(Probabilitas!$E$10:$E$11,MATCH(D411,Probabilitas!$A$10:$A$11,0))*INDEX(Probabilitas!$E$16:$E$22,MATCH(E411,Probabilitas!$A$16:$A$22,0))*INDEX(Probabilitas!$E$27:$E$28,MATCH(F411,Probabilitas!$A$27:$A$28,0))</x:f>
        <x:v>0.14007046891746672</x:v>
      </x:c>
      <x:c r="J411" s="26" t="n">
        <x:f>IFERROR(H411/(H411+I411),0)</x:f>
        <x:v>0.000030716211276168776</x:v>
      </x:c>
      <x:c r="K411" s="26" t="n">
        <x:f>IFERROR(I411/(H411+I411),0)</x:f>
        <x:v>0.999969283788724</x:v>
      </x:c>
      <x:c r="L411" s="24" t="str">
        <x:f>IF(J411&gt;=K411,"Minat","Tidak minat")</x:f>
        <x:v>Tidak minat</x:v>
      </x:c>
      <x:c r="M411" s="24" t="str">
        <x:f>IF(L411=G411,"Sesuai label latih","Berbeda dari label latih")</x:f>
        <x:v>Sesuai label latih</x:v>
      </x:c>
    </x:row>
    <x:row r="412">
      <x:c r="A412" s="24" t="n">
        <x:v>411</x:v>
      </x:c>
      <x:c r="B412" s="24" t="str">
        <x:v>TSM3-L-026</x:v>
      </x:c>
      <x:c r="C412" s="24" t="str">
        <x:v>Siswa TSM3 L-026</x:v>
      </x:c>
      <x:c r="D412" s="24" t="str">
        <x:v>TSM / Teknik Sepeda Motor</x:v>
      </x:c>
      <x:c r="E412" s="24" t="str">
        <x:v>TSM 3</x:v>
      </x:c>
      <x:c r="F412" s="24" t="str">
        <x:v>Laki-laki</x:v>
      </x:c>
      <x:c r="G412" s="24" t="str">
        <x:v>Tidak minat</x:v>
      </x:c>
      <x:c r="H412" s="26" t="n">
        <x:f>Probabilitas!$C$4*INDEX(Probabilitas!$C$10:$C$11,MATCH(D412,Probabilitas!$A$10:$A$11,0))*INDEX(Probabilitas!$C$16:$C$22,MATCH(E412,Probabilitas!$A$16:$A$22,0))*INDEX(Probabilitas!$C$27:$C$28,MATCH(F412,Probabilitas!$A$27:$A$28,0))</x:f>
        <x:v>0.0000043025662753556825</x:v>
      </x:c>
      <x:c r="I412" s="26" t="n">
        <x:f>Probabilitas!$C$5*INDEX(Probabilitas!$E$10:$E$11,MATCH(D412,Probabilitas!$A$10:$A$11,0))*INDEX(Probabilitas!$E$16:$E$22,MATCH(E412,Probabilitas!$A$16:$A$22,0))*INDEX(Probabilitas!$E$27:$E$28,MATCH(F412,Probabilitas!$A$27:$A$28,0))</x:f>
        <x:v>0.14007046891746672</x:v>
      </x:c>
      <x:c r="J412" s="26" t="n">
        <x:f>IFERROR(H412/(H412+I412),0)</x:f>
        <x:v>0.000030716211276168776</x:v>
      </x:c>
      <x:c r="K412" s="26" t="n">
        <x:f>IFERROR(I412/(H412+I412),0)</x:f>
        <x:v>0.999969283788724</x:v>
      </x:c>
      <x:c r="L412" s="24" t="str">
        <x:f>IF(J412&gt;=K412,"Minat","Tidak minat")</x:f>
        <x:v>Tidak minat</x:v>
      </x:c>
      <x:c r="M412" s="24" t="str">
        <x:f>IF(L412=G412,"Sesuai label latih","Berbeda dari label latih")</x:f>
        <x:v>Sesuai label latih</x:v>
      </x:c>
    </x:row>
    <x:row r="413">
      <x:c r="A413" s="24" t="n">
        <x:v>412</x:v>
      </x:c>
      <x:c r="B413" s="24" t="str">
        <x:v>TSM3-L-027</x:v>
      </x:c>
      <x:c r="C413" s="24" t="str">
        <x:v>Siswa TSM3 L-027</x:v>
      </x:c>
      <x:c r="D413" s="24" t="str">
        <x:v>TSM / Teknik Sepeda Motor</x:v>
      </x:c>
      <x:c r="E413" s="24" t="str">
        <x:v>TSM 3</x:v>
      </x:c>
      <x:c r="F413" s="24" t="str">
        <x:v>Laki-laki</x:v>
      </x:c>
      <x:c r="G413" s="24" t="str">
        <x:v>Tidak minat</x:v>
      </x:c>
      <x:c r="H413" s="26" t="n">
        <x:f>Probabilitas!$C$4*INDEX(Probabilitas!$C$10:$C$11,MATCH(D413,Probabilitas!$A$10:$A$11,0))*INDEX(Probabilitas!$C$16:$C$22,MATCH(E413,Probabilitas!$A$16:$A$22,0))*INDEX(Probabilitas!$C$27:$C$28,MATCH(F413,Probabilitas!$A$27:$A$28,0))</x:f>
        <x:v>0.0000043025662753556825</x:v>
      </x:c>
      <x:c r="I413" s="26" t="n">
        <x:f>Probabilitas!$C$5*INDEX(Probabilitas!$E$10:$E$11,MATCH(D413,Probabilitas!$A$10:$A$11,0))*INDEX(Probabilitas!$E$16:$E$22,MATCH(E413,Probabilitas!$A$16:$A$22,0))*INDEX(Probabilitas!$E$27:$E$28,MATCH(F413,Probabilitas!$A$27:$A$28,0))</x:f>
        <x:v>0.14007046891746672</x:v>
      </x:c>
      <x:c r="J413" s="26" t="n">
        <x:f>IFERROR(H413/(H413+I413),0)</x:f>
        <x:v>0.000030716211276168776</x:v>
      </x:c>
      <x:c r="K413" s="26" t="n">
        <x:f>IFERROR(I413/(H413+I413),0)</x:f>
        <x:v>0.999969283788724</x:v>
      </x:c>
      <x:c r="L413" s="24" t="str">
        <x:f>IF(J413&gt;=K413,"Minat","Tidak minat")</x:f>
        <x:v>Tidak minat</x:v>
      </x:c>
      <x:c r="M413" s="24" t="str">
        <x:f>IF(L413=G413,"Sesuai label latih","Berbeda dari label latih")</x:f>
        <x:v>Sesuai label latih</x:v>
      </x:c>
    </x:row>
    <x:row r="414">
      <x:c r="A414" s="24" t="n">
        <x:v>413</x:v>
      </x:c>
      <x:c r="B414" s="24" t="str">
        <x:v>TSM3-L-028</x:v>
      </x:c>
      <x:c r="C414" s="24" t="str">
        <x:v>Siswa TSM3 L-028</x:v>
      </x:c>
      <x:c r="D414" s="24" t="str">
        <x:v>TSM / Teknik Sepeda Motor</x:v>
      </x:c>
      <x:c r="E414" s="24" t="str">
        <x:v>TSM 3</x:v>
      </x:c>
      <x:c r="F414" s="24" t="str">
        <x:v>Laki-laki</x:v>
      </x:c>
      <x:c r="G414" s="24" t="str">
        <x:v>Tidak minat</x:v>
      </x:c>
      <x:c r="H414" s="26" t="n">
        <x:f>Probabilitas!$C$4*INDEX(Probabilitas!$C$10:$C$11,MATCH(D414,Probabilitas!$A$10:$A$11,0))*INDEX(Probabilitas!$C$16:$C$22,MATCH(E414,Probabilitas!$A$16:$A$22,0))*INDEX(Probabilitas!$C$27:$C$28,MATCH(F414,Probabilitas!$A$27:$A$28,0))</x:f>
        <x:v>0.0000043025662753556825</x:v>
      </x:c>
      <x:c r="I414" s="26" t="n">
        <x:f>Probabilitas!$C$5*INDEX(Probabilitas!$E$10:$E$11,MATCH(D414,Probabilitas!$A$10:$A$11,0))*INDEX(Probabilitas!$E$16:$E$22,MATCH(E414,Probabilitas!$A$16:$A$22,0))*INDEX(Probabilitas!$E$27:$E$28,MATCH(F414,Probabilitas!$A$27:$A$28,0))</x:f>
        <x:v>0.14007046891746672</x:v>
      </x:c>
      <x:c r="J414" s="26" t="n">
        <x:f>IFERROR(H414/(H414+I414),0)</x:f>
        <x:v>0.000030716211276168776</x:v>
      </x:c>
      <x:c r="K414" s="26" t="n">
        <x:f>IFERROR(I414/(H414+I414),0)</x:f>
        <x:v>0.999969283788724</x:v>
      </x:c>
      <x:c r="L414" s="24" t="str">
        <x:f>IF(J414&gt;=K414,"Minat","Tidak minat")</x:f>
        <x:v>Tidak minat</x:v>
      </x:c>
      <x:c r="M414" s="24" t="str">
        <x:f>IF(L414=G414,"Sesuai label latih","Berbeda dari label latih")</x:f>
        <x:v>Sesuai label latih</x:v>
      </x:c>
    </x:row>
    <x:row r="415">
      <x:c r="A415" s="24" t="n">
        <x:v>414</x:v>
      </x:c>
      <x:c r="B415" s="24" t="str">
        <x:v>TSM3-L-029</x:v>
      </x:c>
      <x:c r="C415" s="24" t="str">
        <x:v>Siswa TSM3 L-029</x:v>
      </x:c>
      <x:c r="D415" s="24" t="str">
        <x:v>TSM / Teknik Sepeda Motor</x:v>
      </x:c>
      <x:c r="E415" s="24" t="str">
        <x:v>TSM 3</x:v>
      </x:c>
      <x:c r="F415" s="24" t="str">
        <x:v>Laki-laki</x:v>
      </x:c>
      <x:c r="G415" s="24" t="str">
        <x:v>Tidak minat</x:v>
      </x:c>
      <x:c r="H415" s="26" t="n">
        <x:f>Probabilitas!$C$4*INDEX(Probabilitas!$C$10:$C$11,MATCH(D415,Probabilitas!$A$10:$A$11,0))*INDEX(Probabilitas!$C$16:$C$22,MATCH(E415,Probabilitas!$A$16:$A$22,0))*INDEX(Probabilitas!$C$27:$C$28,MATCH(F415,Probabilitas!$A$27:$A$28,0))</x:f>
        <x:v>0.0000043025662753556825</x:v>
      </x:c>
      <x:c r="I415" s="26" t="n">
        <x:f>Probabilitas!$C$5*INDEX(Probabilitas!$E$10:$E$11,MATCH(D415,Probabilitas!$A$10:$A$11,0))*INDEX(Probabilitas!$E$16:$E$22,MATCH(E415,Probabilitas!$A$16:$A$22,0))*INDEX(Probabilitas!$E$27:$E$28,MATCH(F415,Probabilitas!$A$27:$A$28,0))</x:f>
        <x:v>0.14007046891746672</x:v>
      </x:c>
      <x:c r="J415" s="26" t="n">
        <x:f>IFERROR(H415/(H415+I415),0)</x:f>
        <x:v>0.000030716211276168776</x:v>
      </x:c>
      <x:c r="K415" s="26" t="n">
        <x:f>IFERROR(I415/(H415+I415),0)</x:f>
        <x:v>0.999969283788724</x:v>
      </x:c>
      <x:c r="L415" s="24" t="str">
        <x:f>IF(J415&gt;=K415,"Minat","Tidak minat")</x:f>
        <x:v>Tidak minat</x:v>
      </x:c>
      <x:c r="M415" s="24" t="str">
        <x:f>IF(L415=G415,"Sesuai label latih","Berbeda dari label latih")</x:f>
        <x:v>Sesuai label latih</x:v>
      </x:c>
    </x:row>
    <x:row r="416">
      <x:c r="A416" s="24" t="n">
        <x:v>415</x:v>
      </x:c>
      <x:c r="B416" s="24" t="str">
        <x:v>TSM3-L-030</x:v>
      </x:c>
      <x:c r="C416" s="24" t="str">
        <x:v>Siswa TSM3 L-030</x:v>
      </x:c>
      <x:c r="D416" s="24" t="str">
        <x:v>TSM / Teknik Sepeda Motor</x:v>
      </x:c>
      <x:c r="E416" s="24" t="str">
        <x:v>TSM 3</x:v>
      </x:c>
      <x:c r="F416" s="24" t="str">
        <x:v>Laki-laki</x:v>
      </x:c>
      <x:c r="G416" s="24" t="str">
        <x:v>Tidak minat</x:v>
      </x:c>
      <x:c r="H416" s="26" t="n">
        <x:f>Probabilitas!$C$4*INDEX(Probabilitas!$C$10:$C$11,MATCH(D416,Probabilitas!$A$10:$A$11,0))*INDEX(Probabilitas!$C$16:$C$22,MATCH(E416,Probabilitas!$A$16:$A$22,0))*INDEX(Probabilitas!$C$27:$C$28,MATCH(F416,Probabilitas!$A$27:$A$28,0))</x:f>
        <x:v>0.0000043025662753556825</x:v>
      </x:c>
      <x:c r="I416" s="26" t="n">
        <x:f>Probabilitas!$C$5*INDEX(Probabilitas!$E$10:$E$11,MATCH(D416,Probabilitas!$A$10:$A$11,0))*INDEX(Probabilitas!$E$16:$E$22,MATCH(E416,Probabilitas!$A$16:$A$22,0))*INDEX(Probabilitas!$E$27:$E$28,MATCH(F416,Probabilitas!$A$27:$A$28,0))</x:f>
        <x:v>0.14007046891746672</x:v>
      </x:c>
      <x:c r="J416" s="26" t="n">
        <x:f>IFERROR(H416/(H416+I416),0)</x:f>
        <x:v>0.000030716211276168776</x:v>
      </x:c>
      <x:c r="K416" s="26" t="n">
        <x:f>IFERROR(I416/(H416+I416),0)</x:f>
        <x:v>0.999969283788724</x:v>
      </x:c>
      <x:c r="L416" s="24" t="str">
        <x:f>IF(J416&gt;=K416,"Minat","Tidak minat")</x:f>
        <x:v>Tidak minat</x:v>
      </x:c>
      <x:c r="M416" s="24" t="str">
        <x:f>IF(L416=G416,"Sesuai label latih","Berbeda dari label latih")</x:f>
        <x:v>Sesuai label latih</x:v>
      </x:c>
    </x:row>
    <x:row r="417">
      <x:c r="A417" s="24" t="n">
        <x:v>416</x:v>
      </x:c>
      <x:c r="B417" s="24" t="str">
        <x:v>TSM3-L-031</x:v>
      </x:c>
      <x:c r="C417" s="24" t="str">
        <x:v>Siswa TSM3 L-031</x:v>
      </x:c>
      <x:c r="D417" s="24" t="str">
        <x:v>TSM / Teknik Sepeda Motor</x:v>
      </x:c>
      <x:c r="E417" s="24" t="str">
        <x:v>TSM 3</x:v>
      </x:c>
      <x:c r="F417" s="24" t="str">
        <x:v>Laki-laki</x:v>
      </x:c>
      <x:c r="G417" s="24" t="str">
        <x:v>Tidak minat</x:v>
      </x:c>
      <x:c r="H417" s="26" t="n">
        <x:f>Probabilitas!$C$4*INDEX(Probabilitas!$C$10:$C$11,MATCH(D417,Probabilitas!$A$10:$A$11,0))*INDEX(Probabilitas!$C$16:$C$22,MATCH(E417,Probabilitas!$A$16:$A$22,0))*INDEX(Probabilitas!$C$27:$C$28,MATCH(F417,Probabilitas!$A$27:$A$28,0))</x:f>
        <x:v>0.0000043025662753556825</x:v>
      </x:c>
      <x:c r="I417" s="26" t="n">
        <x:f>Probabilitas!$C$5*INDEX(Probabilitas!$E$10:$E$11,MATCH(D417,Probabilitas!$A$10:$A$11,0))*INDEX(Probabilitas!$E$16:$E$22,MATCH(E417,Probabilitas!$A$16:$A$22,0))*INDEX(Probabilitas!$E$27:$E$28,MATCH(F417,Probabilitas!$A$27:$A$28,0))</x:f>
        <x:v>0.14007046891746672</x:v>
      </x:c>
      <x:c r="J417" s="26" t="n">
        <x:f>IFERROR(H417/(H417+I417),0)</x:f>
        <x:v>0.000030716211276168776</x:v>
      </x:c>
      <x:c r="K417" s="26" t="n">
        <x:f>IFERROR(I417/(H417+I417),0)</x:f>
        <x:v>0.999969283788724</x:v>
      </x:c>
      <x:c r="L417" s="24" t="str">
        <x:f>IF(J417&gt;=K417,"Minat","Tidak minat")</x:f>
        <x:v>Tidak minat</x:v>
      </x:c>
      <x:c r="M417" s="24" t="str">
        <x:f>IF(L417=G417,"Sesuai label latih","Berbeda dari label latih")</x:f>
        <x:v>Sesuai label latih</x:v>
      </x:c>
    </x:row>
    <x:row r="418">
      <x:c r="A418" s="24" t="n">
        <x:v>417</x:v>
      </x:c>
      <x:c r="B418" s="24" t="str">
        <x:v>TSM3-L-032</x:v>
      </x:c>
      <x:c r="C418" s="24" t="str">
        <x:v>Siswa TSM3 L-032</x:v>
      </x:c>
      <x:c r="D418" s="24" t="str">
        <x:v>TSM / Teknik Sepeda Motor</x:v>
      </x:c>
      <x:c r="E418" s="24" t="str">
        <x:v>TSM 3</x:v>
      </x:c>
      <x:c r="F418" s="24" t="str">
        <x:v>Laki-laki</x:v>
      </x:c>
      <x:c r="G418" s="24" t="str">
        <x:v>Tidak minat</x:v>
      </x:c>
      <x:c r="H418" s="26" t="n">
        <x:f>Probabilitas!$C$4*INDEX(Probabilitas!$C$10:$C$11,MATCH(D418,Probabilitas!$A$10:$A$11,0))*INDEX(Probabilitas!$C$16:$C$22,MATCH(E418,Probabilitas!$A$16:$A$22,0))*INDEX(Probabilitas!$C$27:$C$28,MATCH(F418,Probabilitas!$A$27:$A$28,0))</x:f>
        <x:v>0.0000043025662753556825</x:v>
      </x:c>
      <x:c r="I418" s="26" t="n">
        <x:f>Probabilitas!$C$5*INDEX(Probabilitas!$E$10:$E$11,MATCH(D418,Probabilitas!$A$10:$A$11,0))*INDEX(Probabilitas!$E$16:$E$22,MATCH(E418,Probabilitas!$A$16:$A$22,0))*INDEX(Probabilitas!$E$27:$E$28,MATCH(F418,Probabilitas!$A$27:$A$28,0))</x:f>
        <x:v>0.14007046891746672</x:v>
      </x:c>
      <x:c r="J418" s="26" t="n">
        <x:f>IFERROR(H418/(H418+I418),0)</x:f>
        <x:v>0.000030716211276168776</x:v>
      </x:c>
      <x:c r="K418" s="26" t="n">
        <x:f>IFERROR(I418/(H418+I418),0)</x:f>
        <x:v>0.999969283788724</x:v>
      </x:c>
      <x:c r="L418" s="24" t="str">
        <x:f>IF(J418&gt;=K418,"Minat","Tidak minat")</x:f>
        <x:v>Tidak minat</x:v>
      </x:c>
      <x:c r="M418" s="24" t="str">
        <x:f>IF(L418=G418,"Sesuai label latih","Berbeda dari label latih")</x:f>
        <x:v>Sesuai label latih</x:v>
      </x:c>
    </x:row>
    <x:row r="419">
      <x:c r="A419" s="24" t="n">
        <x:v>418</x:v>
      </x:c>
      <x:c r="B419" s="24" t="str">
        <x:v>TSM3-L-033</x:v>
      </x:c>
      <x:c r="C419" s="24" t="str">
        <x:v>Siswa TSM3 L-033</x:v>
      </x:c>
      <x:c r="D419" s="24" t="str">
        <x:v>TSM / Teknik Sepeda Motor</x:v>
      </x:c>
      <x:c r="E419" s="24" t="str">
        <x:v>TSM 3</x:v>
      </x:c>
      <x:c r="F419" s="24" t="str">
        <x:v>Laki-laki</x:v>
      </x:c>
      <x:c r="G419" s="24" t="str">
        <x:v>Tidak minat</x:v>
      </x:c>
      <x:c r="H419" s="26" t="n">
        <x:f>Probabilitas!$C$4*INDEX(Probabilitas!$C$10:$C$11,MATCH(D419,Probabilitas!$A$10:$A$11,0))*INDEX(Probabilitas!$C$16:$C$22,MATCH(E419,Probabilitas!$A$16:$A$22,0))*INDEX(Probabilitas!$C$27:$C$28,MATCH(F419,Probabilitas!$A$27:$A$28,0))</x:f>
        <x:v>0.0000043025662753556825</x:v>
      </x:c>
      <x:c r="I419" s="26" t="n">
        <x:f>Probabilitas!$C$5*INDEX(Probabilitas!$E$10:$E$11,MATCH(D419,Probabilitas!$A$10:$A$11,0))*INDEX(Probabilitas!$E$16:$E$22,MATCH(E419,Probabilitas!$A$16:$A$22,0))*INDEX(Probabilitas!$E$27:$E$28,MATCH(F419,Probabilitas!$A$27:$A$28,0))</x:f>
        <x:v>0.14007046891746672</x:v>
      </x:c>
      <x:c r="J419" s="26" t="n">
        <x:f>IFERROR(H419/(H419+I419),0)</x:f>
        <x:v>0.000030716211276168776</x:v>
      </x:c>
      <x:c r="K419" s="26" t="n">
        <x:f>IFERROR(I419/(H419+I419),0)</x:f>
        <x:v>0.999969283788724</x:v>
      </x:c>
      <x:c r="L419" s="24" t="str">
        <x:f>IF(J419&gt;=K419,"Minat","Tidak minat")</x:f>
        <x:v>Tidak minat</x:v>
      </x:c>
      <x:c r="M419" s="24" t="str">
        <x:f>IF(L419=G419,"Sesuai label latih","Berbeda dari label latih")</x:f>
        <x:v>Sesuai label latih</x:v>
      </x:c>
    </x:row>
    <x:row r="420">
      <x:c r="A420" s="24" t="n">
        <x:v>419</x:v>
      </x:c>
      <x:c r="B420" s="24" t="str">
        <x:v>TSM3-L-034</x:v>
      </x:c>
      <x:c r="C420" s="24" t="str">
        <x:v>Siswa TSM3 L-034</x:v>
      </x:c>
      <x:c r="D420" s="24" t="str">
        <x:v>TSM / Teknik Sepeda Motor</x:v>
      </x:c>
      <x:c r="E420" s="24" t="str">
        <x:v>TSM 3</x:v>
      </x:c>
      <x:c r="F420" s="24" t="str">
        <x:v>Laki-laki</x:v>
      </x:c>
      <x:c r="G420" s="24" t="str">
        <x:v>Tidak minat</x:v>
      </x:c>
      <x:c r="H420" s="26" t="n">
        <x:f>Probabilitas!$C$4*INDEX(Probabilitas!$C$10:$C$11,MATCH(D420,Probabilitas!$A$10:$A$11,0))*INDEX(Probabilitas!$C$16:$C$22,MATCH(E420,Probabilitas!$A$16:$A$22,0))*INDEX(Probabilitas!$C$27:$C$28,MATCH(F420,Probabilitas!$A$27:$A$28,0))</x:f>
        <x:v>0.0000043025662753556825</x:v>
      </x:c>
      <x:c r="I420" s="26" t="n">
        <x:f>Probabilitas!$C$5*INDEX(Probabilitas!$E$10:$E$11,MATCH(D420,Probabilitas!$A$10:$A$11,0))*INDEX(Probabilitas!$E$16:$E$22,MATCH(E420,Probabilitas!$A$16:$A$22,0))*INDEX(Probabilitas!$E$27:$E$28,MATCH(F420,Probabilitas!$A$27:$A$28,0))</x:f>
        <x:v>0.14007046891746672</x:v>
      </x:c>
      <x:c r="J420" s="26" t="n">
        <x:f>IFERROR(H420/(H420+I420),0)</x:f>
        <x:v>0.000030716211276168776</x:v>
      </x:c>
      <x:c r="K420" s="26" t="n">
        <x:f>IFERROR(I420/(H420+I420),0)</x:f>
        <x:v>0.999969283788724</x:v>
      </x:c>
      <x:c r="L420" s="24" t="str">
        <x:f>IF(J420&gt;=K420,"Minat","Tidak minat")</x:f>
        <x:v>Tidak minat</x:v>
      </x:c>
      <x:c r="M420" s="24" t="str">
        <x:f>IF(L420=G420,"Sesuai label latih","Berbeda dari label latih")</x:f>
        <x:v>Sesuai label latih</x:v>
      </x:c>
    </x:row>
    <x:row r="421">
      <x:c r="A421" s="24" t="n">
        <x:v>420</x:v>
      </x:c>
      <x:c r="B421" s="24" t="str">
        <x:v>TSM3-L-035</x:v>
      </x:c>
      <x:c r="C421" s="24" t="str">
        <x:v>Siswa TSM3 L-035</x:v>
      </x:c>
      <x:c r="D421" s="24" t="str">
        <x:v>TSM / Teknik Sepeda Motor</x:v>
      </x:c>
      <x:c r="E421" s="24" t="str">
        <x:v>TSM 3</x:v>
      </x:c>
      <x:c r="F421" s="24" t="str">
        <x:v>Laki-laki</x:v>
      </x:c>
      <x:c r="G421" s="24" t="str">
        <x:v>Tidak minat</x:v>
      </x:c>
      <x:c r="H421" s="26" t="n">
        <x:f>Probabilitas!$C$4*INDEX(Probabilitas!$C$10:$C$11,MATCH(D421,Probabilitas!$A$10:$A$11,0))*INDEX(Probabilitas!$C$16:$C$22,MATCH(E421,Probabilitas!$A$16:$A$22,0))*INDEX(Probabilitas!$C$27:$C$28,MATCH(F421,Probabilitas!$A$27:$A$28,0))</x:f>
        <x:v>0.0000043025662753556825</x:v>
      </x:c>
      <x:c r="I421" s="26" t="n">
        <x:f>Probabilitas!$C$5*INDEX(Probabilitas!$E$10:$E$11,MATCH(D421,Probabilitas!$A$10:$A$11,0))*INDEX(Probabilitas!$E$16:$E$22,MATCH(E421,Probabilitas!$A$16:$A$22,0))*INDEX(Probabilitas!$E$27:$E$28,MATCH(F421,Probabilitas!$A$27:$A$28,0))</x:f>
        <x:v>0.14007046891746672</x:v>
      </x:c>
      <x:c r="J421" s="26" t="n">
        <x:f>IFERROR(H421/(H421+I421),0)</x:f>
        <x:v>0.000030716211276168776</x:v>
      </x:c>
      <x:c r="K421" s="26" t="n">
        <x:f>IFERROR(I421/(H421+I421),0)</x:f>
        <x:v>0.999969283788724</x:v>
      </x:c>
      <x:c r="L421" s="24" t="str">
        <x:f>IF(J421&gt;=K421,"Minat","Tidak minat")</x:f>
        <x:v>Tidak minat</x:v>
      </x:c>
      <x:c r="M421" s="24" t="str">
        <x:f>IF(L421=G421,"Sesuai label latih","Berbeda dari label latih")</x:f>
        <x:v>Sesuai label latih</x:v>
      </x:c>
    </x:row>
    <x:row r="422">
      <x:c r="A422" s="24" t="n">
        <x:v>421</x:v>
      </x:c>
      <x:c r="B422" s="24" t="str">
        <x:v>TSM3-L-036</x:v>
      </x:c>
      <x:c r="C422" s="24" t="str">
        <x:v>Siswa TSM3 L-036</x:v>
      </x:c>
      <x:c r="D422" s="24" t="str">
        <x:v>TSM / Teknik Sepeda Motor</x:v>
      </x:c>
      <x:c r="E422" s="24" t="str">
        <x:v>TSM 3</x:v>
      </x:c>
      <x:c r="F422" s="24" t="str">
        <x:v>Laki-laki</x:v>
      </x:c>
      <x:c r="G422" s="24" t="str">
        <x:v>Tidak minat</x:v>
      </x:c>
      <x:c r="H422" s="26" t="n">
        <x:f>Probabilitas!$C$4*INDEX(Probabilitas!$C$10:$C$11,MATCH(D422,Probabilitas!$A$10:$A$11,0))*INDEX(Probabilitas!$C$16:$C$22,MATCH(E422,Probabilitas!$A$16:$A$22,0))*INDEX(Probabilitas!$C$27:$C$28,MATCH(F422,Probabilitas!$A$27:$A$28,0))</x:f>
        <x:v>0.0000043025662753556825</x:v>
      </x:c>
      <x:c r="I422" s="26" t="n">
        <x:f>Probabilitas!$C$5*INDEX(Probabilitas!$E$10:$E$11,MATCH(D422,Probabilitas!$A$10:$A$11,0))*INDEX(Probabilitas!$E$16:$E$22,MATCH(E422,Probabilitas!$A$16:$A$22,0))*INDEX(Probabilitas!$E$27:$E$28,MATCH(F422,Probabilitas!$A$27:$A$28,0))</x:f>
        <x:v>0.14007046891746672</x:v>
      </x:c>
      <x:c r="J422" s="26" t="n">
        <x:f>IFERROR(H422/(H422+I422),0)</x:f>
        <x:v>0.000030716211276168776</x:v>
      </x:c>
      <x:c r="K422" s="26" t="n">
        <x:f>IFERROR(I422/(H422+I422),0)</x:f>
        <x:v>0.999969283788724</x:v>
      </x:c>
      <x:c r="L422" s="24" t="str">
        <x:f>IF(J422&gt;=K422,"Minat","Tidak minat")</x:f>
        <x:v>Tidak minat</x:v>
      </x:c>
      <x:c r="M422" s="24" t="str">
        <x:f>IF(L422=G422,"Sesuai label latih","Berbeda dari label latih")</x:f>
        <x:v>Sesuai label latih</x:v>
      </x:c>
    </x:row>
    <x:row r="423">
      <x:c r="A423" s="24" t="n">
        <x:v>422</x:v>
      </x:c>
      <x:c r="B423" s="24" t="str">
        <x:v>TSM3-L-037</x:v>
      </x:c>
      <x:c r="C423" s="24" t="str">
        <x:v>Siswa TSM3 L-037</x:v>
      </x:c>
      <x:c r="D423" s="24" t="str">
        <x:v>TSM / Teknik Sepeda Motor</x:v>
      </x:c>
      <x:c r="E423" s="24" t="str">
        <x:v>TSM 3</x:v>
      </x:c>
      <x:c r="F423" s="24" t="str">
        <x:v>Laki-laki</x:v>
      </x:c>
      <x:c r="G423" s="24" t="str">
        <x:v>Tidak minat</x:v>
      </x:c>
      <x:c r="H423" s="26" t="n">
        <x:f>Probabilitas!$C$4*INDEX(Probabilitas!$C$10:$C$11,MATCH(D423,Probabilitas!$A$10:$A$11,0))*INDEX(Probabilitas!$C$16:$C$22,MATCH(E423,Probabilitas!$A$16:$A$22,0))*INDEX(Probabilitas!$C$27:$C$28,MATCH(F423,Probabilitas!$A$27:$A$28,0))</x:f>
        <x:v>0.0000043025662753556825</x:v>
      </x:c>
      <x:c r="I423" s="26" t="n">
        <x:f>Probabilitas!$C$5*INDEX(Probabilitas!$E$10:$E$11,MATCH(D423,Probabilitas!$A$10:$A$11,0))*INDEX(Probabilitas!$E$16:$E$22,MATCH(E423,Probabilitas!$A$16:$A$22,0))*INDEX(Probabilitas!$E$27:$E$28,MATCH(F423,Probabilitas!$A$27:$A$28,0))</x:f>
        <x:v>0.14007046891746672</x:v>
      </x:c>
      <x:c r="J423" s="26" t="n">
        <x:f>IFERROR(H423/(H423+I423),0)</x:f>
        <x:v>0.000030716211276168776</x:v>
      </x:c>
      <x:c r="K423" s="26" t="n">
        <x:f>IFERROR(I423/(H423+I423),0)</x:f>
        <x:v>0.999969283788724</x:v>
      </x:c>
      <x:c r="L423" s="24" t="str">
        <x:f>IF(J423&gt;=K423,"Minat","Tidak minat")</x:f>
        <x:v>Tidak minat</x:v>
      </x:c>
      <x:c r="M423" s="24" t="str">
        <x:f>IF(L423=G423,"Sesuai label latih","Berbeda dari label latih")</x:f>
        <x:v>Sesuai label latih</x:v>
      </x:c>
    </x:row>
    <x:row r="424">
      <x:c r="A424" s="24" t="n">
        <x:v>423</x:v>
      </x:c>
      <x:c r="B424" s="24" t="str">
        <x:v>TSM3-L-038</x:v>
      </x:c>
      <x:c r="C424" s="24" t="str">
        <x:v>Siswa TSM3 L-038</x:v>
      </x:c>
      <x:c r="D424" s="24" t="str">
        <x:v>TSM / Teknik Sepeda Motor</x:v>
      </x:c>
      <x:c r="E424" s="24" t="str">
        <x:v>TSM 3</x:v>
      </x:c>
      <x:c r="F424" s="24" t="str">
        <x:v>Laki-laki</x:v>
      </x:c>
      <x:c r="G424" s="24" t="str">
        <x:v>Tidak minat</x:v>
      </x:c>
      <x:c r="H424" s="26" t="n">
        <x:f>Probabilitas!$C$4*INDEX(Probabilitas!$C$10:$C$11,MATCH(D424,Probabilitas!$A$10:$A$11,0))*INDEX(Probabilitas!$C$16:$C$22,MATCH(E424,Probabilitas!$A$16:$A$22,0))*INDEX(Probabilitas!$C$27:$C$28,MATCH(F424,Probabilitas!$A$27:$A$28,0))</x:f>
        <x:v>0.0000043025662753556825</x:v>
      </x:c>
      <x:c r="I424" s="26" t="n">
        <x:f>Probabilitas!$C$5*INDEX(Probabilitas!$E$10:$E$11,MATCH(D424,Probabilitas!$A$10:$A$11,0))*INDEX(Probabilitas!$E$16:$E$22,MATCH(E424,Probabilitas!$A$16:$A$22,0))*INDEX(Probabilitas!$E$27:$E$28,MATCH(F424,Probabilitas!$A$27:$A$28,0))</x:f>
        <x:v>0.14007046891746672</x:v>
      </x:c>
      <x:c r="J424" s="26" t="n">
        <x:f>IFERROR(H424/(H424+I424),0)</x:f>
        <x:v>0.000030716211276168776</x:v>
      </x:c>
      <x:c r="K424" s="26" t="n">
        <x:f>IFERROR(I424/(H424+I424),0)</x:f>
        <x:v>0.999969283788724</x:v>
      </x:c>
      <x:c r="L424" s="24" t="str">
        <x:f>IF(J424&gt;=K424,"Minat","Tidak minat")</x:f>
        <x:v>Tidak minat</x:v>
      </x:c>
      <x:c r="M424" s="24" t="str">
        <x:f>IF(L424=G424,"Sesuai label latih","Berbeda dari label latih")</x:f>
        <x:v>Sesuai label latih</x:v>
      </x:c>
    </x:row>
    <x:row r="425">
      <x:c r="A425" s="24" t="n">
        <x:v>424</x:v>
      </x:c>
      <x:c r="B425" s="24" t="str">
        <x:v>TSM3-L-039</x:v>
      </x:c>
      <x:c r="C425" s="24" t="str">
        <x:v>Siswa TSM3 L-039</x:v>
      </x:c>
      <x:c r="D425" s="24" t="str">
        <x:v>TSM / Teknik Sepeda Motor</x:v>
      </x:c>
      <x:c r="E425" s="24" t="str">
        <x:v>TSM 3</x:v>
      </x:c>
      <x:c r="F425" s="24" t="str">
        <x:v>Laki-laki</x:v>
      </x:c>
      <x:c r="G425" s="24" t="str">
        <x:v>Tidak minat</x:v>
      </x:c>
      <x:c r="H425" s="26" t="n">
        <x:f>Probabilitas!$C$4*INDEX(Probabilitas!$C$10:$C$11,MATCH(D425,Probabilitas!$A$10:$A$11,0))*INDEX(Probabilitas!$C$16:$C$22,MATCH(E425,Probabilitas!$A$16:$A$22,0))*INDEX(Probabilitas!$C$27:$C$28,MATCH(F425,Probabilitas!$A$27:$A$28,0))</x:f>
        <x:v>0.0000043025662753556825</x:v>
      </x:c>
      <x:c r="I425" s="26" t="n">
        <x:f>Probabilitas!$C$5*INDEX(Probabilitas!$E$10:$E$11,MATCH(D425,Probabilitas!$A$10:$A$11,0))*INDEX(Probabilitas!$E$16:$E$22,MATCH(E425,Probabilitas!$A$16:$A$22,0))*INDEX(Probabilitas!$E$27:$E$28,MATCH(F425,Probabilitas!$A$27:$A$28,0))</x:f>
        <x:v>0.14007046891746672</x:v>
      </x:c>
      <x:c r="J425" s="26" t="n">
        <x:f>IFERROR(H425/(H425+I425),0)</x:f>
        <x:v>0.000030716211276168776</x:v>
      </x:c>
      <x:c r="K425" s="26" t="n">
        <x:f>IFERROR(I425/(H425+I425),0)</x:f>
        <x:v>0.999969283788724</x:v>
      </x:c>
      <x:c r="L425" s="24" t="str">
        <x:f>IF(J425&gt;=K425,"Minat","Tidak minat")</x:f>
        <x:v>Tidak minat</x:v>
      </x:c>
      <x:c r="M425" s="24" t="str">
        <x:f>IF(L425=G425,"Sesuai label latih","Berbeda dari label latih")</x:f>
        <x:v>Sesuai label latih</x:v>
      </x:c>
    </x:row>
    <x:row r="426">
      <x:c r="A426" s="24" t="n">
        <x:v>425</x:v>
      </x:c>
      <x:c r="B426" s="24" t="str">
        <x:v>TSM3-L-040</x:v>
      </x:c>
      <x:c r="C426" s="24" t="str">
        <x:v>Siswa TSM3 L-040</x:v>
      </x:c>
      <x:c r="D426" s="24" t="str">
        <x:v>TSM / Teknik Sepeda Motor</x:v>
      </x:c>
      <x:c r="E426" s="24" t="str">
        <x:v>TSM 3</x:v>
      </x:c>
      <x:c r="F426" s="24" t="str">
        <x:v>Laki-laki</x:v>
      </x:c>
      <x:c r="G426" s="24" t="str">
        <x:v>Tidak minat</x:v>
      </x:c>
      <x:c r="H426" s="26" t="n">
        <x:f>Probabilitas!$C$4*INDEX(Probabilitas!$C$10:$C$11,MATCH(D426,Probabilitas!$A$10:$A$11,0))*INDEX(Probabilitas!$C$16:$C$22,MATCH(E426,Probabilitas!$A$16:$A$22,0))*INDEX(Probabilitas!$C$27:$C$28,MATCH(F426,Probabilitas!$A$27:$A$28,0))</x:f>
        <x:v>0.0000043025662753556825</x:v>
      </x:c>
      <x:c r="I426" s="26" t="n">
        <x:f>Probabilitas!$C$5*INDEX(Probabilitas!$E$10:$E$11,MATCH(D426,Probabilitas!$A$10:$A$11,0))*INDEX(Probabilitas!$E$16:$E$22,MATCH(E426,Probabilitas!$A$16:$A$22,0))*INDEX(Probabilitas!$E$27:$E$28,MATCH(F426,Probabilitas!$A$27:$A$28,0))</x:f>
        <x:v>0.14007046891746672</x:v>
      </x:c>
      <x:c r="J426" s="26" t="n">
        <x:f>IFERROR(H426/(H426+I426),0)</x:f>
        <x:v>0.000030716211276168776</x:v>
      </x:c>
      <x:c r="K426" s="26" t="n">
        <x:f>IFERROR(I426/(H426+I426),0)</x:f>
        <x:v>0.999969283788724</x:v>
      </x:c>
      <x:c r="L426" s="24" t="str">
        <x:f>IF(J426&gt;=K426,"Minat","Tidak minat")</x:f>
        <x:v>Tidak minat</x:v>
      </x:c>
      <x:c r="M426" s="24" t="str">
        <x:f>IF(L426=G426,"Sesuai label latih","Berbeda dari label latih")</x:f>
        <x:v>Sesuai label latih</x:v>
      </x:c>
    </x:row>
    <x:row r="427">
      <x:c r="A427" s="24" t="n">
        <x:v>426</x:v>
      </x:c>
      <x:c r="B427" s="24" t="str">
        <x:v>TSM3-L-041</x:v>
      </x:c>
      <x:c r="C427" s="24" t="str">
        <x:v>Siswa TSM3 L-041</x:v>
      </x:c>
      <x:c r="D427" s="24" t="str">
        <x:v>TSM / Teknik Sepeda Motor</x:v>
      </x:c>
      <x:c r="E427" s="24" t="str">
        <x:v>TSM 3</x:v>
      </x:c>
      <x:c r="F427" s="24" t="str">
        <x:v>Laki-laki</x:v>
      </x:c>
      <x:c r="G427" s="24" t="str">
        <x:v>Tidak minat</x:v>
      </x:c>
      <x:c r="H427" s="26" t="n">
        <x:f>Probabilitas!$C$4*INDEX(Probabilitas!$C$10:$C$11,MATCH(D427,Probabilitas!$A$10:$A$11,0))*INDEX(Probabilitas!$C$16:$C$22,MATCH(E427,Probabilitas!$A$16:$A$22,0))*INDEX(Probabilitas!$C$27:$C$28,MATCH(F427,Probabilitas!$A$27:$A$28,0))</x:f>
        <x:v>0.0000043025662753556825</x:v>
      </x:c>
      <x:c r="I427" s="26" t="n">
        <x:f>Probabilitas!$C$5*INDEX(Probabilitas!$E$10:$E$11,MATCH(D427,Probabilitas!$A$10:$A$11,0))*INDEX(Probabilitas!$E$16:$E$22,MATCH(E427,Probabilitas!$A$16:$A$22,0))*INDEX(Probabilitas!$E$27:$E$28,MATCH(F427,Probabilitas!$A$27:$A$28,0))</x:f>
        <x:v>0.14007046891746672</x:v>
      </x:c>
      <x:c r="J427" s="26" t="n">
        <x:f>IFERROR(H427/(H427+I427),0)</x:f>
        <x:v>0.000030716211276168776</x:v>
      </x:c>
      <x:c r="K427" s="26" t="n">
        <x:f>IFERROR(I427/(H427+I427),0)</x:f>
        <x:v>0.999969283788724</x:v>
      </x:c>
      <x:c r="L427" s="24" t="str">
        <x:f>IF(J427&gt;=K427,"Minat","Tidak minat")</x:f>
        <x:v>Tidak minat</x:v>
      </x:c>
      <x:c r="M427" s="24" t="str">
        <x:f>IF(L427=G427,"Sesuai label latih","Berbeda dari label latih")</x:f>
        <x:v>Sesuai label latih</x:v>
      </x:c>
    </x:row>
    <x:row r="428">
      <x:c r="A428" s="24" t="n">
        <x:v>427</x:v>
      </x:c>
      <x:c r="B428" s="24" t="str">
        <x:v>TSM3-L-042</x:v>
      </x:c>
      <x:c r="C428" s="24" t="str">
        <x:v>Siswa TSM3 L-042</x:v>
      </x:c>
      <x:c r="D428" s="24" t="str">
        <x:v>TSM / Teknik Sepeda Motor</x:v>
      </x:c>
      <x:c r="E428" s="24" t="str">
        <x:v>TSM 3</x:v>
      </x:c>
      <x:c r="F428" s="24" t="str">
        <x:v>Laki-laki</x:v>
      </x:c>
      <x:c r="G428" s="24" t="str">
        <x:v>Tidak minat</x:v>
      </x:c>
      <x:c r="H428" s="26" t="n">
        <x:f>Probabilitas!$C$4*INDEX(Probabilitas!$C$10:$C$11,MATCH(D428,Probabilitas!$A$10:$A$11,0))*INDEX(Probabilitas!$C$16:$C$22,MATCH(E428,Probabilitas!$A$16:$A$22,0))*INDEX(Probabilitas!$C$27:$C$28,MATCH(F428,Probabilitas!$A$27:$A$28,0))</x:f>
        <x:v>0.0000043025662753556825</x:v>
      </x:c>
      <x:c r="I428" s="26" t="n">
        <x:f>Probabilitas!$C$5*INDEX(Probabilitas!$E$10:$E$11,MATCH(D428,Probabilitas!$A$10:$A$11,0))*INDEX(Probabilitas!$E$16:$E$22,MATCH(E428,Probabilitas!$A$16:$A$22,0))*INDEX(Probabilitas!$E$27:$E$28,MATCH(F428,Probabilitas!$A$27:$A$28,0))</x:f>
        <x:v>0.14007046891746672</x:v>
      </x:c>
      <x:c r="J428" s="26" t="n">
        <x:f>IFERROR(H428/(H428+I428),0)</x:f>
        <x:v>0.000030716211276168776</x:v>
      </x:c>
      <x:c r="K428" s="26" t="n">
        <x:f>IFERROR(I428/(H428+I428),0)</x:f>
        <x:v>0.999969283788724</x:v>
      </x:c>
      <x:c r="L428" s="24" t="str">
        <x:f>IF(J428&gt;=K428,"Minat","Tidak minat")</x:f>
        <x:v>Tidak minat</x:v>
      </x:c>
      <x:c r="M428" s="24" t="str">
        <x:f>IF(L428=G428,"Sesuai label latih","Berbeda dari label latih")</x:f>
        <x:v>Sesuai label latih</x:v>
      </x:c>
    </x:row>
    <x:row r="429">
      <x:c r="A429" s="24" t="n">
        <x:v>428</x:v>
      </x:c>
      <x:c r="B429" s="24" t="str">
        <x:v>TSM3-L-043</x:v>
      </x:c>
      <x:c r="C429" s="24" t="str">
        <x:v>Siswa TSM3 L-043</x:v>
      </x:c>
      <x:c r="D429" s="24" t="str">
        <x:v>TSM / Teknik Sepeda Motor</x:v>
      </x:c>
      <x:c r="E429" s="24" t="str">
        <x:v>TSM 3</x:v>
      </x:c>
      <x:c r="F429" s="24" t="str">
        <x:v>Laki-laki</x:v>
      </x:c>
      <x:c r="G429" s="24" t="str">
        <x:v>Tidak minat</x:v>
      </x:c>
      <x:c r="H429" s="26" t="n">
        <x:f>Probabilitas!$C$4*INDEX(Probabilitas!$C$10:$C$11,MATCH(D429,Probabilitas!$A$10:$A$11,0))*INDEX(Probabilitas!$C$16:$C$22,MATCH(E429,Probabilitas!$A$16:$A$22,0))*INDEX(Probabilitas!$C$27:$C$28,MATCH(F429,Probabilitas!$A$27:$A$28,0))</x:f>
        <x:v>0.0000043025662753556825</x:v>
      </x:c>
      <x:c r="I429" s="26" t="n">
        <x:f>Probabilitas!$C$5*INDEX(Probabilitas!$E$10:$E$11,MATCH(D429,Probabilitas!$A$10:$A$11,0))*INDEX(Probabilitas!$E$16:$E$22,MATCH(E429,Probabilitas!$A$16:$A$22,0))*INDEX(Probabilitas!$E$27:$E$28,MATCH(F429,Probabilitas!$A$27:$A$28,0))</x:f>
        <x:v>0.14007046891746672</x:v>
      </x:c>
      <x:c r="J429" s="26" t="n">
        <x:f>IFERROR(H429/(H429+I429),0)</x:f>
        <x:v>0.000030716211276168776</x:v>
      </x:c>
      <x:c r="K429" s="26" t="n">
        <x:f>IFERROR(I429/(H429+I429),0)</x:f>
        <x:v>0.999969283788724</x:v>
      </x:c>
      <x:c r="L429" s="24" t="str">
        <x:f>IF(J429&gt;=K429,"Minat","Tidak minat")</x:f>
        <x:v>Tidak minat</x:v>
      </x:c>
      <x:c r="M429" s="24" t="str">
        <x:f>IF(L429=G429,"Sesuai label latih","Berbeda dari label latih")</x:f>
        <x:v>Sesuai label latih</x:v>
      </x:c>
    </x:row>
    <x:row r="430">
      <x:c r="A430" s="24" t="n">
        <x:v>429</x:v>
      </x:c>
      <x:c r="B430" s="24" t="str">
        <x:v>TSM3-L-044</x:v>
      </x:c>
      <x:c r="C430" s="24" t="str">
        <x:v>Siswa TSM3 L-044</x:v>
      </x:c>
      <x:c r="D430" s="24" t="str">
        <x:v>TSM / Teknik Sepeda Motor</x:v>
      </x:c>
      <x:c r="E430" s="24" t="str">
        <x:v>TSM 3</x:v>
      </x:c>
      <x:c r="F430" s="24" t="str">
        <x:v>Laki-laki</x:v>
      </x:c>
      <x:c r="G430" s="24" t="str">
        <x:v>Tidak minat</x:v>
      </x:c>
      <x:c r="H430" s="26" t="n">
        <x:f>Probabilitas!$C$4*INDEX(Probabilitas!$C$10:$C$11,MATCH(D430,Probabilitas!$A$10:$A$11,0))*INDEX(Probabilitas!$C$16:$C$22,MATCH(E430,Probabilitas!$A$16:$A$22,0))*INDEX(Probabilitas!$C$27:$C$28,MATCH(F430,Probabilitas!$A$27:$A$28,0))</x:f>
        <x:v>0.0000043025662753556825</x:v>
      </x:c>
      <x:c r="I430" s="26" t="n">
        <x:f>Probabilitas!$C$5*INDEX(Probabilitas!$E$10:$E$11,MATCH(D430,Probabilitas!$A$10:$A$11,0))*INDEX(Probabilitas!$E$16:$E$22,MATCH(E430,Probabilitas!$A$16:$A$22,0))*INDEX(Probabilitas!$E$27:$E$28,MATCH(F430,Probabilitas!$A$27:$A$28,0))</x:f>
        <x:v>0.14007046891746672</x:v>
      </x:c>
      <x:c r="J430" s="26" t="n">
        <x:f>IFERROR(H430/(H430+I430),0)</x:f>
        <x:v>0.000030716211276168776</x:v>
      </x:c>
      <x:c r="K430" s="26" t="n">
        <x:f>IFERROR(I430/(H430+I430),0)</x:f>
        <x:v>0.999969283788724</x:v>
      </x:c>
      <x:c r="L430" s="24" t="str">
        <x:f>IF(J430&gt;=K430,"Minat","Tidak minat")</x:f>
        <x:v>Tidak minat</x:v>
      </x:c>
      <x:c r="M430" s="24" t="str">
        <x:f>IF(L430=G430,"Sesuai label latih","Berbeda dari label latih")</x:f>
        <x:v>Sesuai label latih</x:v>
      </x:c>
    </x:row>
    <x:row r="431">
      <x:c r="A431" s="24" t="n">
        <x:v>430</x:v>
      </x:c>
      <x:c r="B431" s="24" t="str">
        <x:v>TSM3-L-045</x:v>
      </x:c>
      <x:c r="C431" s="24" t="str">
        <x:v>Siswa TSM3 L-045</x:v>
      </x:c>
      <x:c r="D431" s="24" t="str">
        <x:v>TSM / Teknik Sepeda Motor</x:v>
      </x:c>
      <x:c r="E431" s="24" t="str">
        <x:v>TSM 3</x:v>
      </x:c>
      <x:c r="F431" s="24" t="str">
        <x:v>Laki-laki</x:v>
      </x:c>
      <x:c r="G431" s="24" t="str">
        <x:v>Tidak minat</x:v>
      </x:c>
      <x:c r="H431" s="26" t="n">
        <x:f>Probabilitas!$C$4*INDEX(Probabilitas!$C$10:$C$11,MATCH(D431,Probabilitas!$A$10:$A$11,0))*INDEX(Probabilitas!$C$16:$C$22,MATCH(E431,Probabilitas!$A$16:$A$22,0))*INDEX(Probabilitas!$C$27:$C$28,MATCH(F431,Probabilitas!$A$27:$A$28,0))</x:f>
        <x:v>0.0000043025662753556825</x:v>
      </x:c>
      <x:c r="I431" s="26" t="n">
        <x:f>Probabilitas!$C$5*INDEX(Probabilitas!$E$10:$E$11,MATCH(D431,Probabilitas!$A$10:$A$11,0))*INDEX(Probabilitas!$E$16:$E$22,MATCH(E431,Probabilitas!$A$16:$A$22,0))*INDEX(Probabilitas!$E$27:$E$28,MATCH(F431,Probabilitas!$A$27:$A$28,0))</x:f>
        <x:v>0.14007046891746672</x:v>
      </x:c>
      <x:c r="J431" s="26" t="n">
        <x:f>IFERROR(H431/(H431+I431),0)</x:f>
        <x:v>0.000030716211276168776</x:v>
      </x:c>
      <x:c r="K431" s="26" t="n">
        <x:f>IFERROR(I431/(H431+I431),0)</x:f>
        <x:v>0.999969283788724</x:v>
      </x:c>
      <x:c r="L431" s="24" t="str">
        <x:f>IF(J431&gt;=K431,"Minat","Tidak minat")</x:f>
        <x:v>Tidak minat</x:v>
      </x:c>
      <x:c r="M431" s="24" t="str">
        <x:f>IF(L431=G431,"Sesuai label latih","Berbeda dari label latih")</x:f>
        <x:v>Sesuai label latih</x:v>
      </x:c>
    </x:row>
    <x:row r="432">
      <x:c r="A432" s="24" t="n">
        <x:v>431</x:v>
      </x:c>
      <x:c r="B432" s="24" t="str">
        <x:v>TSM3-L-046</x:v>
      </x:c>
      <x:c r="C432" s="24" t="str">
        <x:v>Siswa TSM3 L-046</x:v>
      </x:c>
      <x:c r="D432" s="24" t="str">
        <x:v>TSM / Teknik Sepeda Motor</x:v>
      </x:c>
      <x:c r="E432" s="24" t="str">
        <x:v>TSM 3</x:v>
      </x:c>
      <x:c r="F432" s="24" t="str">
        <x:v>Laki-laki</x:v>
      </x:c>
      <x:c r="G432" s="24" t="str">
        <x:v>Tidak minat</x:v>
      </x:c>
      <x:c r="H432" s="26" t="n">
        <x:f>Probabilitas!$C$4*INDEX(Probabilitas!$C$10:$C$11,MATCH(D432,Probabilitas!$A$10:$A$11,0))*INDEX(Probabilitas!$C$16:$C$22,MATCH(E432,Probabilitas!$A$16:$A$22,0))*INDEX(Probabilitas!$C$27:$C$28,MATCH(F432,Probabilitas!$A$27:$A$28,0))</x:f>
        <x:v>0.0000043025662753556825</x:v>
      </x:c>
      <x:c r="I432" s="26" t="n">
        <x:f>Probabilitas!$C$5*INDEX(Probabilitas!$E$10:$E$11,MATCH(D432,Probabilitas!$A$10:$A$11,0))*INDEX(Probabilitas!$E$16:$E$22,MATCH(E432,Probabilitas!$A$16:$A$22,0))*INDEX(Probabilitas!$E$27:$E$28,MATCH(F432,Probabilitas!$A$27:$A$28,0))</x:f>
        <x:v>0.14007046891746672</x:v>
      </x:c>
      <x:c r="J432" s="26" t="n">
        <x:f>IFERROR(H432/(H432+I432),0)</x:f>
        <x:v>0.000030716211276168776</x:v>
      </x:c>
      <x:c r="K432" s="26" t="n">
        <x:f>IFERROR(I432/(H432+I432),0)</x:f>
        <x:v>0.999969283788724</x:v>
      </x:c>
      <x:c r="L432" s="24" t="str">
        <x:f>IF(J432&gt;=K432,"Minat","Tidak minat")</x:f>
        <x:v>Tidak minat</x:v>
      </x:c>
      <x:c r="M432" s="24" t="str">
        <x:f>IF(L432=G432,"Sesuai label latih","Berbeda dari label latih")</x:f>
        <x:v>Sesuai label latih</x:v>
      </x:c>
    </x:row>
    <x:row r="433">
      <x:c r="A433" s="24" t="n">
        <x:v>432</x:v>
      </x:c>
      <x:c r="B433" s="24" t="str">
        <x:v>TSM3-L-047</x:v>
      </x:c>
      <x:c r="C433" s="24" t="str">
        <x:v>Siswa TSM3 L-047</x:v>
      </x:c>
      <x:c r="D433" s="24" t="str">
        <x:v>TSM / Teknik Sepeda Motor</x:v>
      </x:c>
      <x:c r="E433" s="24" t="str">
        <x:v>TSM 3</x:v>
      </x:c>
      <x:c r="F433" s="24" t="str">
        <x:v>Laki-laki</x:v>
      </x:c>
      <x:c r="G433" s="24" t="str">
        <x:v>Tidak minat</x:v>
      </x:c>
      <x:c r="H433" s="26" t="n">
        <x:f>Probabilitas!$C$4*INDEX(Probabilitas!$C$10:$C$11,MATCH(D433,Probabilitas!$A$10:$A$11,0))*INDEX(Probabilitas!$C$16:$C$22,MATCH(E433,Probabilitas!$A$16:$A$22,0))*INDEX(Probabilitas!$C$27:$C$28,MATCH(F433,Probabilitas!$A$27:$A$28,0))</x:f>
        <x:v>0.0000043025662753556825</x:v>
      </x:c>
      <x:c r="I433" s="26" t="n">
        <x:f>Probabilitas!$C$5*INDEX(Probabilitas!$E$10:$E$11,MATCH(D433,Probabilitas!$A$10:$A$11,0))*INDEX(Probabilitas!$E$16:$E$22,MATCH(E433,Probabilitas!$A$16:$A$22,0))*INDEX(Probabilitas!$E$27:$E$28,MATCH(F433,Probabilitas!$A$27:$A$28,0))</x:f>
        <x:v>0.14007046891746672</x:v>
      </x:c>
      <x:c r="J433" s="26" t="n">
        <x:f>IFERROR(H433/(H433+I433),0)</x:f>
        <x:v>0.000030716211276168776</x:v>
      </x:c>
      <x:c r="K433" s="26" t="n">
        <x:f>IFERROR(I433/(H433+I433),0)</x:f>
        <x:v>0.999969283788724</x:v>
      </x:c>
      <x:c r="L433" s="24" t="str">
        <x:f>IF(J433&gt;=K433,"Minat","Tidak minat")</x:f>
        <x:v>Tidak minat</x:v>
      </x:c>
      <x:c r="M433" s="24" t="str">
        <x:f>IF(L433=G433,"Sesuai label latih","Berbeda dari label latih")</x:f>
        <x:v>Sesuai label latih</x:v>
      </x:c>
    </x:row>
    <x:row r="434">
      <x:c r="A434" s="24" t="n">
        <x:v>433</x:v>
      </x:c>
      <x:c r="B434" s="24" t="str">
        <x:v>TSM3-L-048</x:v>
      </x:c>
      <x:c r="C434" s="24" t="str">
        <x:v>Siswa TSM3 L-048</x:v>
      </x:c>
      <x:c r="D434" s="24" t="str">
        <x:v>TSM / Teknik Sepeda Motor</x:v>
      </x:c>
      <x:c r="E434" s="24" t="str">
        <x:v>TSM 3</x:v>
      </x:c>
      <x:c r="F434" s="24" t="str">
        <x:v>Laki-laki</x:v>
      </x:c>
      <x:c r="G434" s="24" t="str">
        <x:v>Tidak minat</x:v>
      </x:c>
      <x:c r="H434" s="26" t="n">
        <x:f>Probabilitas!$C$4*INDEX(Probabilitas!$C$10:$C$11,MATCH(D434,Probabilitas!$A$10:$A$11,0))*INDEX(Probabilitas!$C$16:$C$22,MATCH(E434,Probabilitas!$A$16:$A$22,0))*INDEX(Probabilitas!$C$27:$C$28,MATCH(F434,Probabilitas!$A$27:$A$28,0))</x:f>
        <x:v>0.0000043025662753556825</x:v>
      </x:c>
      <x:c r="I434" s="26" t="n">
        <x:f>Probabilitas!$C$5*INDEX(Probabilitas!$E$10:$E$11,MATCH(D434,Probabilitas!$A$10:$A$11,0))*INDEX(Probabilitas!$E$16:$E$22,MATCH(E434,Probabilitas!$A$16:$A$22,0))*INDEX(Probabilitas!$E$27:$E$28,MATCH(F434,Probabilitas!$A$27:$A$28,0))</x:f>
        <x:v>0.14007046891746672</x:v>
      </x:c>
      <x:c r="J434" s="26" t="n">
        <x:f>IFERROR(H434/(H434+I434),0)</x:f>
        <x:v>0.000030716211276168776</x:v>
      </x:c>
      <x:c r="K434" s="26" t="n">
        <x:f>IFERROR(I434/(H434+I434),0)</x:f>
        <x:v>0.999969283788724</x:v>
      </x:c>
      <x:c r="L434" s="24" t="str">
        <x:f>IF(J434&gt;=K434,"Minat","Tidak minat")</x:f>
        <x:v>Tidak minat</x:v>
      </x:c>
      <x:c r="M434" s="24" t="str">
        <x:f>IF(L434=G434,"Sesuai label latih","Berbeda dari label latih")</x:f>
        <x:v>Sesuai label latih</x:v>
      </x:c>
    </x:row>
    <x:row r="435">
      <x:c r="A435" s="24" t="n">
        <x:v>434</x:v>
      </x:c>
      <x:c r="B435" s="24" t="str">
        <x:v>TSM3-L-049</x:v>
      </x:c>
      <x:c r="C435" s="24" t="str">
        <x:v>Siswa TSM3 L-049</x:v>
      </x:c>
      <x:c r="D435" s="24" t="str">
        <x:v>TSM / Teknik Sepeda Motor</x:v>
      </x:c>
      <x:c r="E435" s="24" t="str">
        <x:v>TSM 3</x:v>
      </x:c>
      <x:c r="F435" s="24" t="str">
        <x:v>Laki-laki</x:v>
      </x:c>
      <x:c r="G435" s="24" t="str">
        <x:v>Tidak minat</x:v>
      </x:c>
      <x:c r="H435" s="26" t="n">
        <x:f>Probabilitas!$C$4*INDEX(Probabilitas!$C$10:$C$11,MATCH(D435,Probabilitas!$A$10:$A$11,0))*INDEX(Probabilitas!$C$16:$C$22,MATCH(E435,Probabilitas!$A$16:$A$22,0))*INDEX(Probabilitas!$C$27:$C$28,MATCH(F435,Probabilitas!$A$27:$A$28,0))</x:f>
        <x:v>0.0000043025662753556825</x:v>
      </x:c>
      <x:c r="I435" s="26" t="n">
        <x:f>Probabilitas!$C$5*INDEX(Probabilitas!$E$10:$E$11,MATCH(D435,Probabilitas!$A$10:$A$11,0))*INDEX(Probabilitas!$E$16:$E$22,MATCH(E435,Probabilitas!$A$16:$A$22,0))*INDEX(Probabilitas!$E$27:$E$28,MATCH(F435,Probabilitas!$A$27:$A$28,0))</x:f>
        <x:v>0.14007046891746672</x:v>
      </x:c>
      <x:c r="J435" s="26" t="n">
        <x:f>IFERROR(H435/(H435+I435),0)</x:f>
        <x:v>0.000030716211276168776</x:v>
      </x:c>
      <x:c r="K435" s="26" t="n">
        <x:f>IFERROR(I435/(H435+I435),0)</x:f>
        <x:v>0.999969283788724</x:v>
      </x:c>
      <x:c r="L435" s="24" t="str">
        <x:f>IF(J435&gt;=K435,"Minat","Tidak minat")</x:f>
        <x:v>Tidak minat</x:v>
      </x:c>
      <x:c r="M435" s="24" t="str">
        <x:f>IF(L435=G435,"Sesuai label latih","Berbeda dari label latih")</x:f>
        <x:v>Sesuai label latih</x:v>
      </x:c>
    </x:row>
    <x:row r="436">
      <x:c r="A436" s="24" t="n">
        <x:v>435</x:v>
      </x:c>
      <x:c r="B436" s="24" t="str">
        <x:v>TSM3-L-050</x:v>
      </x:c>
      <x:c r="C436" s="24" t="str">
        <x:v>Siswa TSM3 L-050</x:v>
      </x:c>
      <x:c r="D436" s="24" t="str">
        <x:v>TSM / Teknik Sepeda Motor</x:v>
      </x:c>
      <x:c r="E436" s="24" t="str">
        <x:v>TSM 3</x:v>
      </x:c>
      <x:c r="F436" s="24" t="str">
        <x:v>Laki-laki</x:v>
      </x:c>
      <x:c r="G436" s="24" t="str">
        <x:v>Tidak minat</x:v>
      </x:c>
      <x:c r="H436" s="26" t="n">
        <x:f>Probabilitas!$C$4*INDEX(Probabilitas!$C$10:$C$11,MATCH(D436,Probabilitas!$A$10:$A$11,0))*INDEX(Probabilitas!$C$16:$C$22,MATCH(E436,Probabilitas!$A$16:$A$22,0))*INDEX(Probabilitas!$C$27:$C$28,MATCH(F436,Probabilitas!$A$27:$A$28,0))</x:f>
        <x:v>0.0000043025662753556825</x:v>
      </x:c>
      <x:c r="I436" s="26" t="n">
        <x:f>Probabilitas!$C$5*INDEX(Probabilitas!$E$10:$E$11,MATCH(D436,Probabilitas!$A$10:$A$11,0))*INDEX(Probabilitas!$E$16:$E$22,MATCH(E436,Probabilitas!$A$16:$A$22,0))*INDEX(Probabilitas!$E$27:$E$28,MATCH(F436,Probabilitas!$A$27:$A$28,0))</x:f>
        <x:v>0.14007046891746672</x:v>
      </x:c>
      <x:c r="J436" s="26" t="n">
        <x:f>IFERROR(H436/(H436+I436),0)</x:f>
        <x:v>0.000030716211276168776</x:v>
      </x:c>
      <x:c r="K436" s="26" t="n">
        <x:f>IFERROR(I436/(H436+I436),0)</x:f>
        <x:v>0.999969283788724</x:v>
      </x:c>
      <x:c r="L436" s="24" t="str">
        <x:f>IF(J436&gt;=K436,"Minat","Tidak minat")</x:f>
        <x:v>Tidak minat</x:v>
      </x:c>
      <x:c r="M436" s="24" t="str">
        <x:f>IF(L436=G436,"Sesuai label latih","Berbeda dari label latih")</x:f>
        <x:v>Sesuai label latih</x:v>
      </x:c>
    </x:row>
    <x:row r="437">
      <x:c r="A437" s="24" t="n">
        <x:v>436</x:v>
      </x:c>
      <x:c r="B437" s="24" t="str">
        <x:v>TSM3-L-051</x:v>
      </x:c>
      <x:c r="C437" s="24" t="str">
        <x:v>Siswa TSM3 L-051</x:v>
      </x:c>
      <x:c r="D437" s="24" t="str">
        <x:v>TSM / Teknik Sepeda Motor</x:v>
      </x:c>
      <x:c r="E437" s="24" t="str">
        <x:v>TSM 3</x:v>
      </x:c>
      <x:c r="F437" s="24" t="str">
        <x:v>Laki-laki</x:v>
      </x:c>
      <x:c r="G437" s="24" t="str">
        <x:v>Tidak minat</x:v>
      </x:c>
      <x:c r="H437" s="26" t="n">
        <x:f>Probabilitas!$C$4*INDEX(Probabilitas!$C$10:$C$11,MATCH(D437,Probabilitas!$A$10:$A$11,0))*INDEX(Probabilitas!$C$16:$C$22,MATCH(E437,Probabilitas!$A$16:$A$22,0))*INDEX(Probabilitas!$C$27:$C$28,MATCH(F437,Probabilitas!$A$27:$A$28,0))</x:f>
        <x:v>0.0000043025662753556825</x:v>
      </x:c>
      <x:c r="I437" s="26" t="n">
        <x:f>Probabilitas!$C$5*INDEX(Probabilitas!$E$10:$E$11,MATCH(D437,Probabilitas!$A$10:$A$11,0))*INDEX(Probabilitas!$E$16:$E$22,MATCH(E437,Probabilitas!$A$16:$A$22,0))*INDEX(Probabilitas!$E$27:$E$28,MATCH(F437,Probabilitas!$A$27:$A$28,0))</x:f>
        <x:v>0.14007046891746672</x:v>
      </x:c>
      <x:c r="J437" s="26" t="n">
        <x:f>IFERROR(H437/(H437+I437),0)</x:f>
        <x:v>0.000030716211276168776</x:v>
      </x:c>
      <x:c r="K437" s="26" t="n">
        <x:f>IFERROR(I437/(H437+I437),0)</x:f>
        <x:v>0.999969283788724</x:v>
      </x:c>
      <x:c r="L437" s="24" t="str">
        <x:f>IF(J437&gt;=K437,"Minat","Tidak minat")</x:f>
        <x:v>Tidak minat</x:v>
      </x:c>
      <x:c r="M437" s="24" t="str">
        <x:f>IF(L437=G437,"Sesuai label latih","Berbeda dari label latih")</x:f>
        <x:v>Sesuai label latih</x:v>
      </x:c>
    </x:row>
    <x:row r="438">
      <x:c r="A438" s="24" t="n">
        <x:v>437</x:v>
      </x:c>
      <x:c r="B438" s="24" t="str">
        <x:v>TSM3-L-052</x:v>
      </x:c>
      <x:c r="C438" s="24" t="str">
        <x:v>Siswa TSM3 L-052</x:v>
      </x:c>
      <x:c r="D438" s="24" t="str">
        <x:v>TSM / Teknik Sepeda Motor</x:v>
      </x:c>
      <x:c r="E438" s="24" t="str">
        <x:v>TSM 3</x:v>
      </x:c>
      <x:c r="F438" s="24" t="str">
        <x:v>Laki-laki</x:v>
      </x:c>
      <x:c r="G438" s="24" t="str">
        <x:v>Tidak minat</x:v>
      </x:c>
      <x:c r="H438" s="26" t="n">
        <x:f>Probabilitas!$C$4*INDEX(Probabilitas!$C$10:$C$11,MATCH(D438,Probabilitas!$A$10:$A$11,0))*INDEX(Probabilitas!$C$16:$C$22,MATCH(E438,Probabilitas!$A$16:$A$22,0))*INDEX(Probabilitas!$C$27:$C$28,MATCH(F438,Probabilitas!$A$27:$A$28,0))</x:f>
        <x:v>0.0000043025662753556825</x:v>
      </x:c>
      <x:c r="I438" s="26" t="n">
        <x:f>Probabilitas!$C$5*INDEX(Probabilitas!$E$10:$E$11,MATCH(D438,Probabilitas!$A$10:$A$11,0))*INDEX(Probabilitas!$E$16:$E$22,MATCH(E438,Probabilitas!$A$16:$A$22,0))*INDEX(Probabilitas!$E$27:$E$28,MATCH(F438,Probabilitas!$A$27:$A$28,0))</x:f>
        <x:v>0.14007046891746672</x:v>
      </x:c>
      <x:c r="J438" s="26" t="n">
        <x:f>IFERROR(H438/(H438+I438),0)</x:f>
        <x:v>0.000030716211276168776</x:v>
      </x:c>
      <x:c r="K438" s="26" t="n">
        <x:f>IFERROR(I438/(H438+I438),0)</x:f>
        <x:v>0.999969283788724</x:v>
      </x:c>
      <x:c r="L438" s="24" t="str">
        <x:f>IF(J438&gt;=K438,"Minat","Tidak minat")</x:f>
        <x:v>Tidak minat</x:v>
      </x:c>
      <x:c r="M438" s="24" t="str">
        <x:f>IF(L438=G438,"Sesuai label latih","Berbeda dari label latih")</x:f>
        <x:v>Sesuai label latih</x:v>
      </x:c>
    </x:row>
    <x:row r="439">
      <x:c r="A439" s="24" t="n">
        <x:v>438</x:v>
      </x:c>
      <x:c r="B439" s="24" t="str">
        <x:v>TSM3-L-053</x:v>
      </x:c>
      <x:c r="C439" s="24" t="str">
        <x:v>Siswa TSM3 L-053</x:v>
      </x:c>
      <x:c r="D439" s="24" t="str">
        <x:v>TSM / Teknik Sepeda Motor</x:v>
      </x:c>
      <x:c r="E439" s="24" t="str">
        <x:v>TSM 3</x:v>
      </x:c>
      <x:c r="F439" s="24" t="str">
        <x:v>Laki-laki</x:v>
      </x:c>
      <x:c r="G439" s="24" t="str">
        <x:v>Tidak minat</x:v>
      </x:c>
      <x:c r="H439" s="26" t="n">
        <x:f>Probabilitas!$C$4*INDEX(Probabilitas!$C$10:$C$11,MATCH(D439,Probabilitas!$A$10:$A$11,0))*INDEX(Probabilitas!$C$16:$C$22,MATCH(E439,Probabilitas!$A$16:$A$22,0))*INDEX(Probabilitas!$C$27:$C$28,MATCH(F439,Probabilitas!$A$27:$A$28,0))</x:f>
        <x:v>0.0000043025662753556825</x:v>
      </x:c>
      <x:c r="I439" s="26" t="n">
        <x:f>Probabilitas!$C$5*INDEX(Probabilitas!$E$10:$E$11,MATCH(D439,Probabilitas!$A$10:$A$11,0))*INDEX(Probabilitas!$E$16:$E$22,MATCH(E439,Probabilitas!$A$16:$A$22,0))*INDEX(Probabilitas!$E$27:$E$28,MATCH(F439,Probabilitas!$A$27:$A$28,0))</x:f>
        <x:v>0.14007046891746672</x:v>
      </x:c>
      <x:c r="J439" s="26" t="n">
        <x:f>IFERROR(H439/(H439+I439),0)</x:f>
        <x:v>0.000030716211276168776</x:v>
      </x:c>
      <x:c r="K439" s="26" t="n">
        <x:f>IFERROR(I439/(H439+I439),0)</x:f>
        <x:v>0.999969283788724</x:v>
      </x:c>
      <x:c r="L439" s="24" t="str">
        <x:f>IF(J439&gt;=K439,"Minat","Tidak minat")</x:f>
        <x:v>Tidak minat</x:v>
      </x:c>
      <x:c r="M439" s="24" t="str">
        <x:f>IF(L439=G439,"Sesuai label latih","Berbeda dari label latih")</x:f>
        <x:v>Sesuai label latih</x:v>
      </x:c>
    </x:row>
    <x:row r="440">
      <x:c r="A440" s="24" t="n">
        <x:v>439</x:v>
      </x:c>
      <x:c r="B440" s="24" t="str">
        <x:v>TSM3-L-054</x:v>
      </x:c>
      <x:c r="C440" s="24" t="str">
        <x:v>Siswa TSM3 L-054</x:v>
      </x:c>
      <x:c r="D440" s="24" t="str">
        <x:v>TSM / Teknik Sepeda Motor</x:v>
      </x:c>
      <x:c r="E440" s="24" t="str">
        <x:v>TSM 3</x:v>
      </x:c>
      <x:c r="F440" s="24" t="str">
        <x:v>Laki-laki</x:v>
      </x:c>
      <x:c r="G440" s="24" t="str">
        <x:v>Tidak minat</x:v>
      </x:c>
      <x:c r="H440" s="26" t="n">
        <x:f>Probabilitas!$C$4*INDEX(Probabilitas!$C$10:$C$11,MATCH(D440,Probabilitas!$A$10:$A$11,0))*INDEX(Probabilitas!$C$16:$C$22,MATCH(E440,Probabilitas!$A$16:$A$22,0))*INDEX(Probabilitas!$C$27:$C$28,MATCH(F440,Probabilitas!$A$27:$A$28,0))</x:f>
        <x:v>0.0000043025662753556825</x:v>
      </x:c>
      <x:c r="I440" s="26" t="n">
        <x:f>Probabilitas!$C$5*INDEX(Probabilitas!$E$10:$E$11,MATCH(D440,Probabilitas!$A$10:$A$11,0))*INDEX(Probabilitas!$E$16:$E$22,MATCH(E440,Probabilitas!$A$16:$A$22,0))*INDEX(Probabilitas!$E$27:$E$28,MATCH(F440,Probabilitas!$A$27:$A$28,0))</x:f>
        <x:v>0.14007046891746672</x:v>
      </x:c>
      <x:c r="J440" s="26" t="n">
        <x:f>IFERROR(H440/(H440+I440),0)</x:f>
        <x:v>0.000030716211276168776</x:v>
      </x:c>
      <x:c r="K440" s="26" t="n">
        <x:f>IFERROR(I440/(H440+I440),0)</x:f>
        <x:v>0.999969283788724</x:v>
      </x:c>
      <x:c r="L440" s="24" t="str">
        <x:f>IF(J440&gt;=K440,"Minat","Tidak minat")</x:f>
        <x:v>Tidak minat</x:v>
      </x:c>
      <x:c r="M440" s="24" t="str">
        <x:f>IF(L440=G440,"Sesuai label latih","Berbeda dari label latih")</x:f>
        <x:v>Sesuai label latih</x:v>
      </x:c>
    </x:row>
    <x:row r="441">
      <x:c r="A441" s="24" t="n">
        <x:v>440</x:v>
      </x:c>
      <x:c r="B441" s="24" t="str">
        <x:v>TSM3-L-055</x:v>
      </x:c>
      <x:c r="C441" s="24" t="str">
        <x:v>Siswa TSM3 L-055</x:v>
      </x:c>
      <x:c r="D441" s="24" t="str">
        <x:v>TSM / Teknik Sepeda Motor</x:v>
      </x:c>
      <x:c r="E441" s="24" t="str">
        <x:v>TSM 3</x:v>
      </x:c>
      <x:c r="F441" s="24" t="str">
        <x:v>Laki-laki</x:v>
      </x:c>
      <x:c r="G441" s="24" t="str">
        <x:v>Tidak minat</x:v>
      </x:c>
      <x:c r="H441" s="26" t="n">
        <x:f>Probabilitas!$C$4*INDEX(Probabilitas!$C$10:$C$11,MATCH(D441,Probabilitas!$A$10:$A$11,0))*INDEX(Probabilitas!$C$16:$C$22,MATCH(E441,Probabilitas!$A$16:$A$22,0))*INDEX(Probabilitas!$C$27:$C$28,MATCH(F441,Probabilitas!$A$27:$A$28,0))</x:f>
        <x:v>0.0000043025662753556825</x:v>
      </x:c>
      <x:c r="I441" s="26" t="n">
        <x:f>Probabilitas!$C$5*INDEX(Probabilitas!$E$10:$E$11,MATCH(D441,Probabilitas!$A$10:$A$11,0))*INDEX(Probabilitas!$E$16:$E$22,MATCH(E441,Probabilitas!$A$16:$A$22,0))*INDEX(Probabilitas!$E$27:$E$28,MATCH(F441,Probabilitas!$A$27:$A$28,0))</x:f>
        <x:v>0.14007046891746672</x:v>
      </x:c>
      <x:c r="J441" s="26" t="n">
        <x:f>IFERROR(H441/(H441+I441),0)</x:f>
        <x:v>0.000030716211276168776</x:v>
      </x:c>
      <x:c r="K441" s="26" t="n">
        <x:f>IFERROR(I441/(H441+I441),0)</x:f>
        <x:v>0.999969283788724</x:v>
      </x:c>
      <x:c r="L441" s="24" t="str">
        <x:f>IF(J441&gt;=K441,"Minat","Tidak minat")</x:f>
        <x:v>Tidak minat</x:v>
      </x:c>
      <x:c r="M441" s="24" t="str">
        <x:f>IF(L441=G441,"Sesuai label latih","Berbeda dari label latih")</x:f>
        <x:v>Sesuai label latih</x:v>
      </x:c>
    </x:row>
    <x:row r="442">
      <x:c r="A442" s="24" t="n">
        <x:v>441</x:v>
      </x:c>
      <x:c r="B442" s="24" t="str">
        <x:v>TSM3-L-056</x:v>
      </x:c>
      <x:c r="C442" s="24" t="str">
        <x:v>Siswa TSM3 L-056</x:v>
      </x:c>
      <x:c r="D442" s="24" t="str">
        <x:v>TSM / Teknik Sepeda Motor</x:v>
      </x:c>
      <x:c r="E442" s="24" t="str">
        <x:v>TSM 3</x:v>
      </x:c>
      <x:c r="F442" s="24" t="str">
        <x:v>Laki-laki</x:v>
      </x:c>
      <x:c r="G442" s="24" t="str">
        <x:v>Tidak minat</x:v>
      </x:c>
      <x:c r="H442" s="26" t="n">
        <x:f>Probabilitas!$C$4*INDEX(Probabilitas!$C$10:$C$11,MATCH(D442,Probabilitas!$A$10:$A$11,0))*INDEX(Probabilitas!$C$16:$C$22,MATCH(E442,Probabilitas!$A$16:$A$22,0))*INDEX(Probabilitas!$C$27:$C$28,MATCH(F442,Probabilitas!$A$27:$A$28,0))</x:f>
        <x:v>0.0000043025662753556825</x:v>
      </x:c>
      <x:c r="I442" s="26" t="n">
        <x:f>Probabilitas!$C$5*INDEX(Probabilitas!$E$10:$E$11,MATCH(D442,Probabilitas!$A$10:$A$11,0))*INDEX(Probabilitas!$E$16:$E$22,MATCH(E442,Probabilitas!$A$16:$A$22,0))*INDEX(Probabilitas!$E$27:$E$28,MATCH(F442,Probabilitas!$A$27:$A$28,0))</x:f>
        <x:v>0.14007046891746672</x:v>
      </x:c>
      <x:c r="J442" s="26" t="n">
        <x:f>IFERROR(H442/(H442+I442),0)</x:f>
        <x:v>0.000030716211276168776</x:v>
      </x:c>
      <x:c r="K442" s="26" t="n">
        <x:f>IFERROR(I442/(H442+I442),0)</x:f>
        <x:v>0.999969283788724</x:v>
      </x:c>
      <x:c r="L442" s="24" t="str">
        <x:f>IF(J442&gt;=K442,"Minat","Tidak minat")</x:f>
        <x:v>Tidak minat</x:v>
      </x:c>
      <x:c r="M442" s="24" t="str">
        <x:f>IF(L442=G442,"Sesuai label latih","Berbeda dari label latih")</x:f>
        <x:v>Sesuai label latih</x:v>
      </x:c>
    </x:row>
    <x:row r="443">
      <x:c r="A443" s="24" t="n">
        <x:v>442</x:v>
      </x:c>
      <x:c r="B443" s="24" t="str">
        <x:v>TSM3-L-057</x:v>
      </x:c>
      <x:c r="C443" s="24" t="str">
        <x:v>Siswa TSM3 L-057</x:v>
      </x:c>
      <x:c r="D443" s="24" t="str">
        <x:v>TSM / Teknik Sepeda Motor</x:v>
      </x:c>
      <x:c r="E443" s="24" t="str">
        <x:v>TSM 3</x:v>
      </x:c>
      <x:c r="F443" s="24" t="str">
        <x:v>Laki-laki</x:v>
      </x:c>
      <x:c r="G443" s="24" t="str">
        <x:v>Tidak minat</x:v>
      </x:c>
      <x:c r="H443" s="26" t="n">
        <x:f>Probabilitas!$C$4*INDEX(Probabilitas!$C$10:$C$11,MATCH(D443,Probabilitas!$A$10:$A$11,0))*INDEX(Probabilitas!$C$16:$C$22,MATCH(E443,Probabilitas!$A$16:$A$22,0))*INDEX(Probabilitas!$C$27:$C$28,MATCH(F443,Probabilitas!$A$27:$A$28,0))</x:f>
        <x:v>0.0000043025662753556825</x:v>
      </x:c>
      <x:c r="I443" s="26" t="n">
        <x:f>Probabilitas!$C$5*INDEX(Probabilitas!$E$10:$E$11,MATCH(D443,Probabilitas!$A$10:$A$11,0))*INDEX(Probabilitas!$E$16:$E$22,MATCH(E443,Probabilitas!$A$16:$A$22,0))*INDEX(Probabilitas!$E$27:$E$28,MATCH(F443,Probabilitas!$A$27:$A$28,0))</x:f>
        <x:v>0.14007046891746672</x:v>
      </x:c>
      <x:c r="J443" s="26" t="n">
        <x:f>IFERROR(H443/(H443+I443),0)</x:f>
        <x:v>0.000030716211276168776</x:v>
      </x:c>
      <x:c r="K443" s="26" t="n">
        <x:f>IFERROR(I443/(H443+I443),0)</x:f>
        <x:v>0.999969283788724</x:v>
      </x:c>
      <x:c r="L443" s="24" t="str">
        <x:f>IF(J443&gt;=K443,"Minat","Tidak minat")</x:f>
        <x:v>Tidak minat</x:v>
      </x:c>
      <x:c r="M443" s="24" t="str">
        <x:f>IF(L443=G443,"Sesuai label latih","Berbeda dari label latih")</x:f>
        <x:v>Sesuai label latih</x:v>
      </x:c>
    </x:row>
    <x:row r="444">
      <x:c r="A444" s="24" t="n">
        <x:v>443</x:v>
      </x:c>
      <x:c r="B444" s="24" t="str">
        <x:v>TSM3-L-058</x:v>
      </x:c>
      <x:c r="C444" s="24" t="str">
        <x:v>Siswa TSM3 L-058</x:v>
      </x:c>
      <x:c r="D444" s="24" t="str">
        <x:v>TSM / Teknik Sepeda Motor</x:v>
      </x:c>
      <x:c r="E444" s="24" t="str">
        <x:v>TSM 3</x:v>
      </x:c>
      <x:c r="F444" s="24" t="str">
        <x:v>Laki-laki</x:v>
      </x:c>
      <x:c r="G444" s="24" t="str">
        <x:v>Tidak minat</x:v>
      </x:c>
      <x:c r="H444" s="26" t="n">
        <x:f>Probabilitas!$C$4*INDEX(Probabilitas!$C$10:$C$11,MATCH(D444,Probabilitas!$A$10:$A$11,0))*INDEX(Probabilitas!$C$16:$C$22,MATCH(E444,Probabilitas!$A$16:$A$22,0))*INDEX(Probabilitas!$C$27:$C$28,MATCH(F444,Probabilitas!$A$27:$A$28,0))</x:f>
        <x:v>0.0000043025662753556825</x:v>
      </x:c>
      <x:c r="I444" s="26" t="n">
        <x:f>Probabilitas!$C$5*INDEX(Probabilitas!$E$10:$E$11,MATCH(D444,Probabilitas!$A$10:$A$11,0))*INDEX(Probabilitas!$E$16:$E$22,MATCH(E444,Probabilitas!$A$16:$A$22,0))*INDEX(Probabilitas!$E$27:$E$28,MATCH(F444,Probabilitas!$A$27:$A$28,0))</x:f>
        <x:v>0.14007046891746672</x:v>
      </x:c>
      <x:c r="J444" s="26" t="n">
        <x:f>IFERROR(H444/(H444+I444),0)</x:f>
        <x:v>0.000030716211276168776</x:v>
      </x:c>
      <x:c r="K444" s="26" t="n">
        <x:f>IFERROR(I444/(H444+I444),0)</x:f>
        <x:v>0.999969283788724</x:v>
      </x:c>
      <x:c r="L444" s="24" t="str">
        <x:f>IF(J444&gt;=K444,"Minat","Tidak minat")</x:f>
        <x:v>Tidak minat</x:v>
      </x:c>
      <x:c r="M444" s="24" t="str">
        <x:f>IF(L444=G444,"Sesuai label latih","Berbeda dari label latih")</x:f>
        <x:v>Sesuai label latih</x:v>
      </x:c>
    </x:row>
    <x:row r="445">
      <x:c r="A445" s="24" t="n">
        <x:v>444</x:v>
      </x:c>
      <x:c r="B445" s="24" t="str">
        <x:v>TSM3-L-059</x:v>
      </x:c>
      <x:c r="C445" s="24" t="str">
        <x:v>Siswa TSM3 L-059</x:v>
      </x:c>
      <x:c r="D445" s="24" t="str">
        <x:v>TSM / Teknik Sepeda Motor</x:v>
      </x:c>
      <x:c r="E445" s="24" t="str">
        <x:v>TSM 3</x:v>
      </x:c>
      <x:c r="F445" s="24" t="str">
        <x:v>Laki-laki</x:v>
      </x:c>
      <x:c r="G445" s="24" t="str">
        <x:v>Tidak minat</x:v>
      </x:c>
      <x:c r="H445" s="26" t="n">
        <x:f>Probabilitas!$C$4*INDEX(Probabilitas!$C$10:$C$11,MATCH(D445,Probabilitas!$A$10:$A$11,0))*INDEX(Probabilitas!$C$16:$C$22,MATCH(E445,Probabilitas!$A$16:$A$22,0))*INDEX(Probabilitas!$C$27:$C$28,MATCH(F445,Probabilitas!$A$27:$A$28,0))</x:f>
        <x:v>0.0000043025662753556825</x:v>
      </x:c>
      <x:c r="I445" s="26" t="n">
        <x:f>Probabilitas!$C$5*INDEX(Probabilitas!$E$10:$E$11,MATCH(D445,Probabilitas!$A$10:$A$11,0))*INDEX(Probabilitas!$E$16:$E$22,MATCH(E445,Probabilitas!$A$16:$A$22,0))*INDEX(Probabilitas!$E$27:$E$28,MATCH(F445,Probabilitas!$A$27:$A$28,0))</x:f>
        <x:v>0.14007046891746672</x:v>
      </x:c>
      <x:c r="J445" s="26" t="n">
        <x:f>IFERROR(H445/(H445+I445),0)</x:f>
        <x:v>0.000030716211276168776</x:v>
      </x:c>
      <x:c r="K445" s="26" t="n">
        <x:f>IFERROR(I445/(H445+I445),0)</x:f>
        <x:v>0.999969283788724</x:v>
      </x:c>
      <x:c r="L445" s="24" t="str">
        <x:f>IF(J445&gt;=K445,"Minat","Tidak minat")</x:f>
        <x:v>Tidak minat</x:v>
      </x:c>
      <x:c r="M445" s="24" t="str">
        <x:f>IF(L445=G445,"Sesuai label latih","Berbeda dari label latih")</x:f>
        <x:v>Sesuai label latih</x:v>
      </x:c>
    </x:row>
    <x:row r="446">
      <x:c r="A446" s="24" t="n">
        <x:v>445</x:v>
      </x:c>
      <x:c r="B446" s="24" t="str">
        <x:v>TSM3-L-060</x:v>
      </x:c>
      <x:c r="C446" s="24" t="str">
        <x:v>Siswa TSM3 L-060</x:v>
      </x:c>
      <x:c r="D446" s="24" t="str">
        <x:v>TSM / Teknik Sepeda Motor</x:v>
      </x:c>
      <x:c r="E446" s="24" t="str">
        <x:v>TSM 3</x:v>
      </x:c>
      <x:c r="F446" s="24" t="str">
        <x:v>Laki-laki</x:v>
      </x:c>
      <x:c r="G446" s="24" t="str">
        <x:v>Tidak minat</x:v>
      </x:c>
      <x:c r="H446" s="26" t="n">
        <x:f>Probabilitas!$C$4*INDEX(Probabilitas!$C$10:$C$11,MATCH(D446,Probabilitas!$A$10:$A$11,0))*INDEX(Probabilitas!$C$16:$C$22,MATCH(E446,Probabilitas!$A$16:$A$22,0))*INDEX(Probabilitas!$C$27:$C$28,MATCH(F446,Probabilitas!$A$27:$A$28,0))</x:f>
        <x:v>0.0000043025662753556825</x:v>
      </x:c>
      <x:c r="I446" s="26" t="n">
        <x:f>Probabilitas!$C$5*INDEX(Probabilitas!$E$10:$E$11,MATCH(D446,Probabilitas!$A$10:$A$11,0))*INDEX(Probabilitas!$E$16:$E$22,MATCH(E446,Probabilitas!$A$16:$A$22,0))*INDEX(Probabilitas!$E$27:$E$28,MATCH(F446,Probabilitas!$A$27:$A$28,0))</x:f>
        <x:v>0.14007046891746672</x:v>
      </x:c>
      <x:c r="J446" s="26" t="n">
        <x:f>IFERROR(H446/(H446+I446),0)</x:f>
        <x:v>0.000030716211276168776</x:v>
      </x:c>
      <x:c r="K446" s="26" t="n">
        <x:f>IFERROR(I446/(H446+I446),0)</x:f>
        <x:v>0.999969283788724</x:v>
      </x:c>
      <x:c r="L446" s="24" t="str">
        <x:f>IF(J446&gt;=K446,"Minat","Tidak minat")</x:f>
        <x:v>Tidak minat</x:v>
      </x:c>
      <x:c r="M446" s="24" t="str">
        <x:f>IF(L446=G446,"Sesuai label latih","Berbeda dari label latih")</x:f>
        <x:v>Sesuai label latih</x:v>
      </x:c>
    </x:row>
    <x:row r="447">
      <x:c r="A447" s="24" t="n">
        <x:v>446</x:v>
      </x:c>
      <x:c r="B447" s="24" t="str">
        <x:v>TSM3-L-061</x:v>
      </x:c>
      <x:c r="C447" s="24" t="str">
        <x:v>Siswa TSM3 L-061</x:v>
      </x:c>
      <x:c r="D447" s="24" t="str">
        <x:v>TSM / Teknik Sepeda Motor</x:v>
      </x:c>
      <x:c r="E447" s="24" t="str">
        <x:v>TSM 3</x:v>
      </x:c>
      <x:c r="F447" s="24" t="str">
        <x:v>Laki-laki</x:v>
      </x:c>
      <x:c r="G447" s="24" t="str">
        <x:v>Tidak minat</x:v>
      </x:c>
      <x:c r="H447" s="26" t="n">
        <x:f>Probabilitas!$C$4*INDEX(Probabilitas!$C$10:$C$11,MATCH(D447,Probabilitas!$A$10:$A$11,0))*INDEX(Probabilitas!$C$16:$C$22,MATCH(E447,Probabilitas!$A$16:$A$22,0))*INDEX(Probabilitas!$C$27:$C$28,MATCH(F447,Probabilitas!$A$27:$A$28,0))</x:f>
        <x:v>0.0000043025662753556825</x:v>
      </x:c>
      <x:c r="I447" s="26" t="n">
        <x:f>Probabilitas!$C$5*INDEX(Probabilitas!$E$10:$E$11,MATCH(D447,Probabilitas!$A$10:$A$11,0))*INDEX(Probabilitas!$E$16:$E$22,MATCH(E447,Probabilitas!$A$16:$A$22,0))*INDEX(Probabilitas!$E$27:$E$28,MATCH(F447,Probabilitas!$A$27:$A$28,0))</x:f>
        <x:v>0.14007046891746672</x:v>
      </x:c>
      <x:c r="J447" s="26" t="n">
        <x:f>IFERROR(H447/(H447+I447),0)</x:f>
        <x:v>0.000030716211276168776</x:v>
      </x:c>
      <x:c r="K447" s="26" t="n">
        <x:f>IFERROR(I447/(H447+I447),0)</x:f>
        <x:v>0.999969283788724</x:v>
      </x:c>
      <x:c r="L447" s="24" t="str">
        <x:f>IF(J447&gt;=K447,"Minat","Tidak minat")</x:f>
        <x:v>Tidak minat</x:v>
      </x:c>
      <x:c r="M447" s="24" t="str">
        <x:f>IF(L447=G447,"Sesuai label latih","Berbeda dari label latih")</x:f>
        <x:v>Sesuai label latih</x:v>
      </x:c>
    </x:row>
    <x:row r="448">
      <x:c r="A448" s="24" t="n">
        <x:v>447</x:v>
      </x:c>
      <x:c r="B448" s="24" t="str">
        <x:v>TSM3-L-062</x:v>
      </x:c>
      <x:c r="C448" s="24" t="str">
        <x:v>Siswa TSM3 L-062</x:v>
      </x:c>
      <x:c r="D448" s="24" t="str">
        <x:v>TSM / Teknik Sepeda Motor</x:v>
      </x:c>
      <x:c r="E448" s="24" t="str">
        <x:v>TSM 3</x:v>
      </x:c>
      <x:c r="F448" s="24" t="str">
        <x:v>Laki-laki</x:v>
      </x:c>
      <x:c r="G448" s="24" t="str">
        <x:v>Tidak minat</x:v>
      </x:c>
      <x:c r="H448" s="26" t="n">
        <x:f>Probabilitas!$C$4*INDEX(Probabilitas!$C$10:$C$11,MATCH(D448,Probabilitas!$A$10:$A$11,0))*INDEX(Probabilitas!$C$16:$C$22,MATCH(E448,Probabilitas!$A$16:$A$22,0))*INDEX(Probabilitas!$C$27:$C$28,MATCH(F448,Probabilitas!$A$27:$A$28,0))</x:f>
        <x:v>0.0000043025662753556825</x:v>
      </x:c>
      <x:c r="I448" s="26" t="n">
        <x:f>Probabilitas!$C$5*INDEX(Probabilitas!$E$10:$E$11,MATCH(D448,Probabilitas!$A$10:$A$11,0))*INDEX(Probabilitas!$E$16:$E$22,MATCH(E448,Probabilitas!$A$16:$A$22,0))*INDEX(Probabilitas!$E$27:$E$28,MATCH(F448,Probabilitas!$A$27:$A$28,0))</x:f>
        <x:v>0.14007046891746672</x:v>
      </x:c>
      <x:c r="J448" s="26" t="n">
        <x:f>IFERROR(H448/(H448+I448),0)</x:f>
        <x:v>0.000030716211276168776</x:v>
      </x:c>
      <x:c r="K448" s="26" t="n">
        <x:f>IFERROR(I448/(H448+I448),0)</x:f>
        <x:v>0.999969283788724</x:v>
      </x:c>
      <x:c r="L448" s="24" t="str">
        <x:f>IF(J448&gt;=K448,"Minat","Tidak minat")</x:f>
        <x:v>Tidak minat</x:v>
      </x:c>
      <x:c r="M448" s="24" t="str">
        <x:f>IF(L448=G448,"Sesuai label latih","Berbeda dari label latih")</x:f>
        <x:v>Sesuai label latih</x:v>
      </x:c>
    </x:row>
    <x:row r="449">
      <x:c r="A449" s="24" t="n">
        <x:v>448</x:v>
      </x:c>
      <x:c r="B449" s="24" t="str">
        <x:v>TSM3-L-063</x:v>
      </x:c>
      <x:c r="C449" s="24" t="str">
        <x:v>Siswa TSM3 L-063</x:v>
      </x:c>
      <x:c r="D449" s="24" t="str">
        <x:v>TSM / Teknik Sepeda Motor</x:v>
      </x:c>
      <x:c r="E449" s="24" t="str">
        <x:v>TSM 3</x:v>
      </x:c>
      <x:c r="F449" s="24" t="str">
        <x:v>Laki-laki</x:v>
      </x:c>
      <x:c r="G449" s="24" t="str">
        <x:v>Tidak minat</x:v>
      </x:c>
      <x:c r="H449" s="26" t="n">
        <x:f>Probabilitas!$C$4*INDEX(Probabilitas!$C$10:$C$11,MATCH(D449,Probabilitas!$A$10:$A$11,0))*INDEX(Probabilitas!$C$16:$C$22,MATCH(E449,Probabilitas!$A$16:$A$22,0))*INDEX(Probabilitas!$C$27:$C$28,MATCH(F449,Probabilitas!$A$27:$A$28,0))</x:f>
        <x:v>0.0000043025662753556825</x:v>
      </x:c>
      <x:c r="I449" s="26" t="n">
        <x:f>Probabilitas!$C$5*INDEX(Probabilitas!$E$10:$E$11,MATCH(D449,Probabilitas!$A$10:$A$11,0))*INDEX(Probabilitas!$E$16:$E$22,MATCH(E449,Probabilitas!$A$16:$A$22,0))*INDEX(Probabilitas!$E$27:$E$28,MATCH(F449,Probabilitas!$A$27:$A$28,0))</x:f>
        <x:v>0.14007046891746672</x:v>
      </x:c>
      <x:c r="J449" s="26" t="n">
        <x:f>IFERROR(H449/(H449+I449),0)</x:f>
        <x:v>0.000030716211276168776</x:v>
      </x:c>
      <x:c r="K449" s="26" t="n">
        <x:f>IFERROR(I449/(H449+I449),0)</x:f>
        <x:v>0.999969283788724</x:v>
      </x:c>
      <x:c r="L449" s="24" t="str">
        <x:f>IF(J449&gt;=K449,"Minat","Tidak minat")</x:f>
        <x:v>Tidak minat</x:v>
      </x:c>
      <x:c r="M449" s="24" t="str">
        <x:f>IF(L449=G449,"Sesuai label latih","Berbeda dari label latih")</x:f>
        <x:v>Sesuai label latih</x:v>
      </x:c>
    </x:row>
    <x:row r="450">
      <x:c r="A450" s="24" t="n">
        <x:v>449</x:v>
      </x:c>
      <x:c r="B450" s="24" t="str">
        <x:v>TSM3-L-064</x:v>
      </x:c>
      <x:c r="C450" s="24" t="str">
        <x:v>Siswa TSM3 L-064</x:v>
      </x:c>
      <x:c r="D450" s="24" t="str">
        <x:v>TSM / Teknik Sepeda Motor</x:v>
      </x:c>
      <x:c r="E450" s="24" t="str">
        <x:v>TSM 3</x:v>
      </x:c>
      <x:c r="F450" s="24" t="str">
        <x:v>Laki-laki</x:v>
      </x:c>
      <x:c r="G450" s="24" t="str">
        <x:v>Tidak minat</x:v>
      </x:c>
      <x:c r="H450" s="26" t="n">
        <x:f>Probabilitas!$C$4*INDEX(Probabilitas!$C$10:$C$11,MATCH(D450,Probabilitas!$A$10:$A$11,0))*INDEX(Probabilitas!$C$16:$C$22,MATCH(E450,Probabilitas!$A$16:$A$22,0))*INDEX(Probabilitas!$C$27:$C$28,MATCH(F450,Probabilitas!$A$27:$A$28,0))</x:f>
        <x:v>0.0000043025662753556825</x:v>
      </x:c>
      <x:c r="I450" s="26" t="n">
        <x:f>Probabilitas!$C$5*INDEX(Probabilitas!$E$10:$E$11,MATCH(D450,Probabilitas!$A$10:$A$11,0))*INDEX(Probabilitas!$E$16:$E$22,MATCH(E450,Probabilitas!$A$16:$A$22,0))*INDEX(Probabilitas!$E$27:$E$28,MATCH(F450,Probabilitas!$A$27:$A$28,0))</x:f>
        <x:v>0.14007046891746672</x:v>
      </x:c>
      <x:c r="J450" s="26" t="n">
        <x:f>IFERROR(H450/(H450+I450),0)</x:f>
        <x:v>0.000030716211276168776</x:v>
      </x:c>
      <x:c r="K450" s="26" t="n">
        <x:f>IFERROR(I450/(H450+I450),0)</x:f>
        <x:v>0.999969283788724</x:v>
      </x:c>
      <x:c r="L450" s="24" t="str">
        <x:f>IF(J450&gt;=K450,"Minat","Tidak minat")</x:f>
        <x:v>Tidak minat</x:v>
      </x:c>
      <x:c r="M450" s="24" t="str">
        <x:f>IF(L450=G450,"Sesuai label latih","Berbeda dari label latih")</x:f>
        <x:v>Sesuai label latih</x:v>
      </x:c>
    </x:row>
    <x:row r="451">
      <x:c r="A451" s="24" t="n">
        <x:v>450</x:v>
      </x:c>
      <x:c r="B451" s="24" t="str">
        <x:v>TSM3-L-065</x:v>
      </x:c>
      <x:c r="C451" s="24" t="str">
        <x:v>Siswa TSM3 L-065</x:v>
      </x:c>
      <x:c r="D451" s="24" t="str">
        <x:v>TSM / Teknik Sepeda Motor</x:v>
      </x:c>
      <x:c r="E451" s="24" t="str">
        <x:v>TSM 3</x:v>
      </x:c>
      <x:c r="F451" s="24" t="str">
        <x:v>Laki-laki</x:v>
      </x:c>
      <x:c r="G451" s="24" t="str">
        <x:v>Tidak minat</x:v>
      </x:c>
      <x:c r="H451" s="26" t="n">
        <x:f>Probabilitas!$C$4*INDEX(Probabilitas!$C$10:$C$11,MATCH(D451,Probabilitas!$A$10:$A$11,0))*INDEX(Probabilitas!$C$16:$C$22,MATCH(E451,Probabilitas!$A$16:$A$22,0))*INDEX(Probabilitas!$C$27:$C$28,MATCH(F451,Probabilitas!$A$27:$A$28,0))</x:f>
        <x:v>0.0000043025662753556825</x:v>
      </x:c>
      <x:c r="I451" s="26" t="n">
        <x:f>Probabilitas!$C$5*INDEX(Probabilitas!$E$10:$E$11,MATCH(D451,Probabilitas!$A$10:$A$11,0))*INDEX(Probabilitas!$E$16:$E$22,MATCH(E451,Probabilitas!$A$16:$A$22,0))*INDEX(Probabilitas!$E$27:$E$28,MATCH(F451,Probabilitas!$A$27:$A$28,0))</x:f>
        <x:v>0.14007046891746672</x:v>
      </x:c>
      <x:c r="J451" s="26" t="n">
        <x:f>IFERROR(H451/(H451+I451),0)</x:f>
        <x:v>0.000030716211276168776</x:v>
      </x:c>
      <x:c r="K451" s="26" t="n">
        <x:f>IFERROR(I451/(H451+I451),0)</x:f>
        <x:v>0.999969283788724</x:v>
      </x:c>
      <x:c r="L451" s="24" t="str">
        <x:f>IF(J451&gt;=K451,"Minat","Tidak minat")</x:f>
        <x:v>Tidak minat</x:v>
      </x:c>
      <x:c r="M451" s="24" t="str">
        <x:f>IF(L451=G451,"Sesuai label latih","Berbeda dari label latih")</x:f>
        <x:v>Sesuai label latih</x:v>
      </x:c>
    </x:row>
    <x:row r="452">
      <x:c r="A452" s="24" t="n">
        <x:v>451</x:v>
      </x:c>
      <x:c r="B452" s="24" t="str">
        <x:v>TSM3-L-066</x:v>
      </x:c>
      <x:c r="C452" s="24" t="str">
        <x:v>Siswa TSM3 L-066</x:v>
      </x:c>
      <x:c r="D452" s="24" t="str">
        <x:v>TSM / Teknik Sepeda Motor</x:v>
      </x:c>
      <x:c r="E452" s="24" t="str">
        <x:v>TSM 3</x:v>
      </x:c>
      <x:c r="F452" s="24" t="str">
        <x:v>Laki-laki</x:v>
      </x:c>
      <x:c r="G452" s="24" t="str">
        <x:v>Tidak minat</x:v>
      </x:c>
      <x:c r="H452" s="26" t="n">
        <x:f>Probabilitas!$C$4*INDEX(Probabilitas!$C$10:$C$11,MATCH(D452,Probabilitas!$A$10:$A$11,0))*INDEX(Probabilitas!$C$16:$C$22,MATCH(E452,Probabilitas!$A$16:$A$22,0))*INDEX(Probabilitas!$C$27:$C$28,MATCH(F452,Probabilitas!$A$27:$A$28,0))</x:f>
        <x:v>0.0000043025662753556825</x:v>
      </x:c>
      <x:c r="I452" s="26" t="n">
        <x:f>Probabilitas!$C$5*INDEX(Probabilitas!$E$10:$E$11,MATCH(D452,Probabilitas!$A$10:$A$11,0))*INDEX(Probabilitas!$E$16:$E$22,MATCH(E452,Probabilitas!$A$16:$A$22,0))*INDEX(Probabilitas!$E$27:$E$28,MATCH(F452,Probabilitas!$A$27:$A$28,0))</x:f>
        <x:v>0.14007046891746672</x:v>
      </x:c>
      <x:c r="J452" s="26" t="n">
        <x:f>IFERROR(H452/(H452+I452),0)</x:f>
        <x:v>0.000030716211276168776</x:v>
      </x:c>
      <x:c r="K452" s="26" t="n">
        <x:f>IFERROR(I452/(H452+I452),0)</x:f>
        <x:v>0.999969283788724</x:v>
      </x:c>
      <x:c r="L452" s="24" t="str">
        <x:f>IF(J452&gt;=K452,"Minat","Tidak minat")</x:f>
        <x:v>Tidak minat</x:v>
      </x:c>
      <x:c r="M452" s="24" t="str">
        <x:f>IF(L452=G452,"Sesuai label latih","Berbeda dari label latih")</x:f>
        <x:v>Sesuai label latih</x:v>
      </x:c>
    </x:row>
    <x:row r="453">
      <x:c r="A453" s="24" t="n">
        <x:v>452</x:v>
      </x:c>
      <x:c r="B453" s="24" t="str">
        <x:v>TSM3-L-067</x:v>
      </x:c>
      <x:c r="C453" s="24" t="str">
        <x:v>Siswa TSM3 L-067</x:v>
      </x:c>
      <x:c r="D453" s="24" t="str">
        <x:v>TSM / Teknik Sepeda Motor</x:v>
      </x:c>
      <x:c r="E453" s="24" t="str">
        <x:v>TSM 3</x:v>
      </x:c>
      <x:c r="F453" s="24" t="str">
        <x:v>Laki-laki</x:v>
      </x:c>
      <x:c r="G453" s="24" t="str">
        <x:v>Tidak minat</x:v>
      </x:c>
      <x:c r="H453" s="26" t="n">
        <x:f>Probabilitas!$C$4*INDEX(Probabilitas!$C$10:$C$11,MATCH(D453,Probabilitas!$A$10:$A$11,0))*INDEX(Probabilitas!$C$16:$C$22,MATCH(E453,Probabilitas!$A$16:$A$22,0))*INDEX(Probabilitas!$C$27:$C$28,MATCH(F453,Probabilitas!$A$27:$A$28,0))</x:f>
        <x:v>0.0000043025662753556825</x:v>
      </x:c>
      <x:c r="I453" s="26" t="n">
        <x:f>Probabilitas!$C$5*INDEX(Probabilitas!$E$10:$E$11,MATCH(D453,Probabilitas!$A$10:$A$11,0))*INDEX(Probabilitas!$E$16:$E$22,MATCH(E453,Probabilitas!$A$16:$A$22,0))*INDEX(Probabilitas!$E$27:$E$28,MATCH(F453,Probabilitas!$A$27:$A$28,0))</x:f>
        <x:v>0.14007046891746672</x:v>
      </x:c>
      <x:c r="J453" s="26" t="n">
        <x:f>IFERROR(H453/(H453+I453),0)</x:f>
        <x:v>0.000030716211276168776</x:v>
      </x:c>
      <x:c r="K453" s="26" t="n">
        <x:f>IFERROR(I453/(H453+I453),0)</x:f>
        <x:v>0.999969283788724</x:v>
      </x:c>
      <x:c r="L453" s="24" t="str">
        <x:f>IF(J453&gt;=K453,"Minat","Tidak minat")</x:f>
        <x:v>Tidak minat</x:v>
      </x:c>
      <x:c r="M453" s="24" t="str">
        <x:f>IF(L453=G453,"Sesuai label latih","Berbeda dari label latih")</x:f>
        <x:v>Sesuai label latih</x:v>
      </x:c>
    </x:row>
    <x:row r="454">
      <x:c r="A454" s="24" t="n">
        <x:v>453</x:v>
      </x:c>
      <x:c r="B454" s="24" t="str">
        <x:v>TSM3-L-068</x:v>
      </x:c>
      <x:c r="C454" s="24" t="str">
        <x:v>Siswa TSM3 L-068</x:v>
      </x:c>
      <x:c r="D454" s="24" t="str">
        <x:v>TSM / Teknik Sepeda Motor</x:v>
      </x:c>
      <x:c r="E454" s="24" t="str">
        <x:v>TSM 3</x:v>
      </x:c>
      <x:c r="F454" s="24" t="str">
        <x:v>Laki-laki</x:v>
      </x:c>
      <x:c r="G454" s="24" t="str">
        <x:v>Tidak minat</x:v>
      </x:c>
      <x:c r="H454" s="26" t="n">
        <x:f>Probabilitas!$C$4*INDEX(Probabilitas!$C$10:$C$11,MATCH(D454,Probabilitas!$A$10:$A$11,0))*INDEX(Probabilitas!$C$16:$C$22,MATCH(E454,Probabilitas!$A$16:$A$22,0))*INDEX(Probabilitas!$C$27:$C$28,MATCH(F454,Probabilitas!$A$27:$A$28,0))</x:f>
        <x:v>0.0000043025662753556825</x:v>
      </x:c>
      <x:c r="I454" s="26" t="n">
        <x:f>Probabilitas!$C$5*INDEX(Probabilitas!$E$10:$E$11,MATCH(D454,Probabilitas!$A$10:$A$11,0))*INDEX(Probabilitas!$E$16:$E$22,MATCH(E454,Probabilitas!$A$16:$A$22,0))*INDEX(Probabilitas!$E$27:$E$28,MATCH(F454,Probabilitas!$A$27:$A$28,0))</x:f>
        <x:v>0.14007046891746672</x:v>
      </x:c>
      <x:c r="J454" s="26" t="n">
        <x:f>IFERROR(H454/(H454+I454),0)</x:f>
        <x:v>0.000030716211276168776</x:v>
      </x:c>
      <x:c r="K454" s="26" t="n">
        <x:f>IFERROR(I454/(H454+I454),0)</x:f>
        <x:v>0.999969283788724</x:v>
      </x:c>
      <x:c r="L454" s="24" t="str">
        <x:f>IF(J454&gt;=K454,"Minat","Tidak minat")</x:f>
        <x:v>Tidak minat</x:v>
      </x:c>
      <x:c r="M454" s="24" t="str">
        <x:f>IF(L454=G454,"Sesuai label latih","Berbeda dari label latih")</x:f>
        <x:v>Sesuai label latih</x:v>
      </x:c>
    </x:row>
    <x:row r="455">
      <x:c r="A455" s="24" t="n">
        <x:v>454</x:v>
      </x:c>
      <x:c r="B455" s="24" t="str">
        <x:v>TSM3-L-069</x:v>
      </x:c>
      <x:c r="C455" s="24" t="str">
        <x:v>Siswa TSM3 L-069</x:v>
      </x:c>
      <x:c r="D455" s="24" t="str">
        <x:v>TSM / Teknik Sepeda Motor</x:v>
      </x:c>
      <x:c r="E455" s="24" t="str">
        <x:v>TSM 3</x:v>
      </x:c>
      <x:c r="F455" s="24" t="str">
        <x:v>Laki-laki</x:v>
      </x:c>
      <x:c r="G455" s="24" t="str">
        <x:v>Tidak minat</x:v>
      </x:c>
      <x:c r="H455" s="26" t="n">
        <x:f>Probabilitas!$C$4*INDEX(Probabilitas!$C$10:$C$11,MATCH(D455,Probabilitas!$A$10:$A$11,0))*INDEX(Probabilitas!$C$16:$C$22,MATCH(E455,Probabilitas!$A$16:$A$22,0))*INDEX(Probabilitas!$C$27:$C$28,MATCH(F455,Probabilitas!$A$27:$A$28,0))</x:f>
        <x:v>0.0000043025662753556825</x:v>
      </x:c>
      <x:c r="I455" s="26" t="n">
        <x:f>Probabilitas!$C$5*INDEX(Probabilitas!$E$10:$E$11,MATCH(D455,Probabilitas!$A$10:$A$11,0))*INDEX(Probabilitas!$E$16:$E$22,MATCH(E455,Probabilitas!$A$16:$A$22,0))*INDEX(Probabilitas!$E$27:$E$28,MATCH(F455,Probabilitas!$A$27:$A$28,0))</x:f>
        <x:v>0.14007046891746672</x:v>
      </x:c>
      <x:c r="J455" s="26" t="n">
        <x:f>IFERROR(H455/(H455+I455),0)</x:f>
        <x:v>0.000030716211276168776</x:v>
      </x:c>
      <x:c r="K455" s="26" t="n">
        <x:f>IFERROR(I455/(H455+I455),0)</x:f>
        <x:v>0.999969283788724</x:v>
      </x:c>
      <x:c r="L455" s="24" t="str">
        <x:f>IF(J455&gt;=K455,"Minat","Tidak minat")</x:f>
        <x:v>Tidak minat</x:v>
      </x:c>
      <x:c r="M455" s="24" t="str">
        <x:f>IF(L455=G455,"Sesuai label latih","Berbeda dari label latih")</x:f>
        <x:v>Sesuai label latih</x:v>
      </x:c>
    </x:row>
    <x:row r="456">
      <x:c r="A456" s="24" t="n">
        <x:v>455</x:v>
      </x:c>
      <x:c r="B456" s="24" t="str">
        <x:v>TSM3-L-070</x:v>
      </x:c>
      <x:c r="C456" s="24" t="str">
        <x:v>Siswa TSM3 L-070</x:v>
      </x:c>
      <x:c r="D456" s="24" t="str">
        <x:v>TSM / Teknik Sepeda Motor</x:v>
      </x:c>
      <x:c r="E456" s="24" t="str">
        <x:v>TSM 3</x:v>
      </x:c>
      <x:c r="F456" s="24" t="str">
        <x:v>Laki-laki</x:v>
      </x:c>
      <x:c r="G456" s="24" t="str">
        <x:v>Tidak minat</x:v>
      </x:c>
      <x:c r="H456" s="26" t="n">
        <x:f>Probabilitas!$C$4*INDEX(Probabilitas!$C$10:$C$11,MATCH(D456,Probabilitas!$A$10:$A$11,0))*INDEX(Probabilitas!$C$16:$C$22,MATCH(E456,Probabilitas!$A$16:$A$22,0))*INDEX(Probabilitas!$C$27:$C$28,MATCH(F456,Probabilitas!$A$27:$A$28,0))</x:f>
        <x:v>0.0000043025662753556825</x:v>
      </x:c>
      <x:c r="I456" s="26" t="n">
        <x:f>Probabilitas!$C$5*INDEX(Probabilitas!$E$10:$E$11,MATCH(D456,Probabilitas!$A$10:$A$11,0))*INDEX(Probabilitas!$E$16:$E$22,MATCH(E456,Probabilitas!$A$16:$A$22,0))*INDEX(Probabilitas!$E$27:$E$28,MATCH(F456,Probabilitas!$A$27:$A$28,0))</x:f>
        <x:v>0.14007046891746672</x:v>
      </x:c>
      <x:c r="J456" s="26" t="n">
        <x:f>IFERROR(H456/(H456+I456),0)</x:f>
        <x:v>0.000030716211276168776</x:v>
      </x:c>
      <x:c r="K456" s="26" t="n">
        <x:f>IFERROR(I456/(H456+I456),0)</x:f>
        <x:v>0.999969283788724</x:v>
      </x:c>
      <x:c r="L456" s="24" t="str">
        <x:f>IF(J456&gt;=K456,"Minat","Tidak minat")</x:f>
        <x:v>Tidak minat</x:v>
      </x:c>
      <x:c r="M456" s="24" t="str">
        <x:f>IF(L456=G456,"Sesuai label latih","Berbeda dari label latih")</x:f>
        <x:v>Sesuai label latih</x:v>
      </x:c>
    </x:row>
    <x:row r="457">
      <x:c r="A457" s="24" t="n">
        <x:v>456</x:v>
      </x:c>
      <x:c r="B457" s="24" t="str">
        <x:v>TSM3-L-071</x:v>
      </x:c>
      <x:c r="C457" s="24" t="str">
        <x:v>Siswa TSM3 L-071</x:v>
      </x:c>
      <x:c r="D457" s="24" t="str">
        <x:v>TSM / Teknik Sepeda Motor</x:v>
      </x:c>
      <x:c r="E457" s="24" t="str">
        <x:v>TSM 3</x:v>
      </x:c>
      <x:c r="F457" s="24" t="str">
        <x:v>Laki-laki</x:v>
      </x:c>
      <x:c r="G457" s="24" t="str">
        <x:v>Tidak minat</x:v>
      </x:c>
      <x:c r="H457" s="26" t="n">
        <x:f>Probabilitas!$C$4*INDEX(Probabilitas!$C$10:$C$11,MATCH(D457,Probabilitas!$A$10:$A$11,0))*INDEX(Probabilitas!$C$16:$C$22,MATCH(E457,Probabilitas!$A$16:$A$22,0))*INDEX(Probabilitas!$C$27:$C$28,MATCH(F457,Probabilitas!$A$27:$A$28,0))</x:f>
        <x:v>0.0000043025662753556825</x:v>
      </x:c>
      <x:c r="I457" s="26" t="n">
        <x:f>Probabilitas!$C$5*INDEX(Probabilitas!$E$10:$E$11,MATCH(D457,Probabilitas!$A$10:$A$11,0))*INDEX(Probabilitas!$E$16:$E$22,MATCH(E457,Probabilitas!$A$16:$A$22,0))*INDEX(Probabilitas!$E$27:$E$28,MATCH(F457,Probabilitas!$A$27:$A$28,0))</x:f>
        <x:v>0.14007046891746672</x:v>
      </x:c>
      <x:c r="J457" s="26" t="n">
        <x:f>IFERROR(H457/(H457+I457),0)</x:f>
        <x:v>0.000030716211276168776</x:v>
      </x:c>
      <x:c r="K457" s="26" t="n">
        <x:f>IFERROR(I457/(H457+I457),0)</x:f>
        <x:v>0.999969283788724</x:v>
      </x:c>
      <x:c r="L457" s="24" t="str">
        <x:f>IF(J457&gt;=K457,"Minat","Tidak minat")</x:f>
        <x:v>Tidak minat</x:v>
      </x:c>
      <x:c r="M457" s="24" t="str">
        <x:f>IF(L457=G457,"Sesuai label latih","Berbeda dari label latih")</x:f>
        <x:v>Sesuai label latih</x:v>
      </x:c>
    </x:row>
    <x:row r="458">
      <x:c r="A458" s="24" t="n">
        <x:v>457</x:v>
      </x:c>
      <x:c r="B458" s="24" t="str">
        <x:v>TSM3-L-072</x:v>
      </x:c>
      <x:c r="C458" s="24" t="str">
        <x:v>Siswa TSM3 L-072</x:v>
      </x:c>
      <x:c r="D458" s="24" t="str">
        <x:v>TSM / Teknik Sepeda Motor</x:v>
      </x:c>
      <x:c r="E458" s="24" t="str">
        <x:v>TSM 3</x:v>
      </x:c>
      <x:c r="F458" s="24" t="str">
        <x:v>Laki-laki</x:v>
      </x:c>
      <x:c r="G458" s="24" t="str">
        <x:v>Tidak minat</x:v>
      </x:c>
      <x:c r="H458" s="26" t="n">
        <x:f>Probabilitas!$C$4*INDEX(Probabilitas!$C$10:$C$11,MATCH(D458,Probabilitas!$A$10:$A$11,0))*INDEX(Probabilitas!$C$16:$C$22,MATCH(E458,Probabilitas!$A$16:$A$22,0))*INDEX(Probabilitas!$C$27:$C$28,MATCH(F458,Probabilitas!$A$27:$A$28,0))</x:f>
        <x:v>0.0000043025662753556825</x:v>
      </x:c>
      <x:c r="I458" s="26" t="n">
        <x:f>Probabilitas!$C$5*INDEX(Probabilitas!$E$10:$E$11,MATCH(D458,Probabilitas!$A$10:$A$11,0))*INDEX(Probabilitas!$E$16:$E$22,MATCH(E458,Probabilitas!$A$16:$A$22,0))*INDEX(Probabilitas!$E$27:$E$28,MATCH(F458,Probabilitas!$A$27:$A$28,0))</x:f>
        <x:v>0.14007046891746672</x:v>
      </x:c>
      <x:c r="J458" s="26" t="n">
        <x:f>IFERROR(H458/(H458+I458),0)</x:f>
        <x:v>0.000030716211276168776</x:v>
      </x:c>
      <x:c r="K458" s="26" t="n">
        <x:f>IFERROR(I458/(H458+I458),0)</x:f>
        <x:v>0.999969283788724</x:v>
      </x:c>
      <x:c r="L458" s="24" t="str">
        <x:f>IF(J458&gt;=K458,"Minat","Tidak minat")</x:f>
        <x:v>Tidak minat</x:v>
      </x:c>
      <x:c r="M458" s="24" t="str">
        <x:f>IF(L458=G458,"Sesuai label latih","Berbeda dari label latih")</x:f>
        <x:v>Sesuai label latih</x:v>
      </x:c>
    </x:row>
    <x:row r="459">
      <x:c r="A459" s="24" t="n">
        <x:v>458</x:v>
      </x:c>
      <x:c r="B459" s="24" t="str">
        <x:v>TSM3-L-073</x:v>
      </x:c>
      <x:c r="C459" s="24" t="str">
        <x:v>Siswa TSM3 L-073</x:v>
      </x:c>
      <x:c r="D459" s="24" t="str">
        <x:v>TSM / Teknik Sepeda Motor</x:v>
      </x:c>
      <x:c r="E459" s="24" t="str">
        <x:v>TSM 3</x:v>
      </x:c>
      <x:c r="F459" s="24" t="str">
        <x:v>Laki-laki</x:v>
      </x:c>
      <x:c r="G459" s="24" t="str">
        <x:v>Tidak minat</x:v>
      </x:c>
      <x:c r="H459" s="26" t="n">
        <x:f>Probabilitas!$C$4*INDEX(Probabilitas!$C$10:$C$11,MATCH(D459,Probabilitas!$A$10:$A$11,0))*INDEX(Probabilitas!$C$16:$C$22,MATCH(E459,Probabilitas!$A$16:$A$22,0))*INDEX(Probabilitas!$C$27:$C$28,MATCH(F459,Probabilitas!$A$27:$A$28,0))</x:f>
        <x:v>0.0000043025662753556825</x:v>
      </x:c>
      <x:c r="I459" s="26" t="n">
        <x:f>Probabilitas!$C$5*INDEX(Probabilitas!$E$10:$E$11,MATCH(D459,Probabilitas!$A$10:$A$11,0))*INDEX(Probabilitas!$E$16:$E$22,MATCH(E459,Probabilitas!$A$16:$A$22,0))*INDEX(Probabilitas!$E$27:$E$28,MATCH(F459,Probabilitas!$A$27:$A$28,0))</x:f>
        <x:v>0.14007046891746672</x:v>
      </x:c>
      <x:c r="J459" s="26" t="n">
        <x:f>IFERROR(H459/(H459+I459),0)</x:f>
        <x:v>0.000030716211276168776</x:v>
      </x:c>
      <x:c r="K459" s="26" t="n">
        <x:f>IFERROR(I459/(H459+I459),0)</x:f>
        <x:v>0.999969283788724</x:v>
      </x:c>
      <x:c r="L459" s="24" t="str">
        <x:f>IF(J459&gt;=K459,"Minat","Tidak minat")</x:f>
        <x:v>Tidak minat</x:v>
      </x:c>
      <x:c r="M459" s="24" t="str">
        <x:f>IF(L459=G459,"Sesuai label latih","Berbeda dari label latih")</x:f>
        <x:v>Sesuai label latih</x:v>
      </x:c>
    </x:row>
    <x:row r="460">
      <x:c r="A460" s="24" t="n">
        <x:v>459</x:v>
      </x:c>
      <x:c r="B460" s="24" t="str">
        <x:v>TSM3-L-074</x:v>
      </x:c>
      <x:c r="C460" s="24" t="str">
        <x:v>Siswa TSM3 L-074</x:v>
      </x:c>
      <x:c r="D460" s="24" t="str">
        <x:v>TSM / Teknik Sepeda Motor</x:v>
      </x:c>
      <x:c r="E460" s="24" t="str">
        <x:v>TSM 3</x:v>
      </x:c>
      <x:c r="F460" s="24" t="str">
        <x:v>Laki-laki</x:v>
      </x:c>
      <x:c r="G460" s="24" t="str">
        <x:v>Tidak minat</x:v>
      </x:c>
      <x:c r="H460" s="26" t="n">
        <x:f>Probabilitas!$C$4*INDEX(Probabilitas!$C$10:$C$11,MATCH(D460,Probabilitas!$A$10:$A$11,0))*INDEX(Probabilitas!$C$16:$C$22,MATCH(E460,Probabilitas!$A$16:$A$22,0))*INDEX(Probabilitas!$C$27:$C$28,MATCH(F460,Probabilitas!$A$27:$A$28,0))</x:f>
        <x:v>0.0000043025662753556825</x:v>
      </x:c>
      <x:c r="I460" s="26" t="n">
        <x:f>Probabilitas!$C$5*INDEX(Probabilitas!$E$10:$E$11,MATCH(D460,Probabilitas!$A$10:$A$11,0))*INDEX(Probabilitas!$E$16:$E$22,MATCH(E460,Probabilitas!$A$16:$A$22,0))*INDEX(Probabilitas!$E$27:$E$28,MATCH(F460,Probabilitas!$A$27:$A$28,0))</x:f>
        <x:v>0.14007046891746672</x:v>
      </x:c>
      <x:c r="J460" s="26" t="n">
        <x:f>IFERROR(H460/(H460+I460),0)</x:f>
        <x:v>0.000030716211276168776</x:v>
      </x:c>
      <x:c r="K460" s="26" t="n">
        <x:f>IFERROR(I460/(H460+I460),0)</x:f>
        <x:v>0.999969283788724</x:v>
      </x:c>
      <x:c r="L460" s="24" t="str">
        <x:f>IF(J460&gt;=K460,"Minat","Tidak minat")</x:f>
        <x:v>Tidak minat</x:v>
      </x:c>
      <x:c r="M460" s="24" t="str">
        <x:f>IF(L460=G460,"Sesuai label latih","Berbeda dari label latih")</x:f>
        <x:v>Sesuai label latih</x:v>
      </x:c>
    </x:row>
    <x:row r="461">
      <x:c r="A461" s="24" t="n">
        <x:v>460</x:v>
      </x:c>
      <x:c r="B461" s="24" t="str">
        <x:v>TSM3-L-075</x:v>
      </x:c>
      <x:c r="C461" s="24" t="str">
        <x:v>Siswa TSM3 L-075</x:v>
      </x:c>
      <x:c r="D461" s="24" t="str">
        <x:v>TSM / Teknik Sepeda Motor</x:v>
      </x:c>
      <x:c r="E461" s="24" t="str">
        <x:v>TSM 3</x:v>
      </x:c>
      <x:c r="F461" s="24" t="str">
        <x:v>Laki-laki</x:v>
      </x:c>
      <x:c r="G461" s="24" t="str">
        <x:v>Tidak minat</x:v>
      </x:c>
      <x:c r="H461" s="26" t="n">
        <x:f>Probabilitas!$C$4*INDEX(Probabilitas!$C$10:$C$11,MATCH(D461,Probabilitas!$A$10:$A$11,0))*INDEX(Probabilitas!$C$16:$C$22,MATCH(E461,Probabilitas!$A$16:$A$22,0))*INDEX(Probabilitas!$C$27:$C$28,MATCH(F461,Probabilitas!$A$27:$A$28,0))</x:f>
        <x:v>0.0000043025662753556825</x:v>
      </x:c>
      <x:c r="I461" s="26" t="n">
        <x:f>Probabilitas!$C$5*INDEX(Probabilitas!$E$10:$E$11,MATCH(D461,Probabilitas!$A$10:$A$11,0))*INDEX(Probabilitas!$E$16:$E$22,MATCH(E461,Probabilitas!$A$16:$A$22,0))*INDEX(Probabilitas!$E$27:$E$28,MATCH(F461,Probabilitas!$A$27:$A$28,0))</x:f>
        <x:v>0.14007046891746672</x:v>
      </x:c>
      <x:c r="J461" s="26" t="n">
        <x:f>IFERROR(H461/(H461+I461),0)</x:f>
        <x:v>0.000030716211276168776</x:v>
      </x:c>
      <x:c r="K461" s="26" t="n">
        <x:f>IFERROR(I461/(H461+I461),0)</x:f>
        <x:v>0.999969283788724</x:v>
      </x:c>
      <x:c r="L461" s="24" t="str">
        <x:f>IF(J461&gt;=K461,"Minat","Tidak minat")</x:f>
        <x:v>Tidak minat</x:v>
      </x:c>
      <x:c r="M461" s="24" t="str">
        <x:f>IF(L461=G461,"Sesuai label latih","Berbeda dari label latih")</x:f>
        <x:v>Sesuai label latih</x:v>
      </x:c>
    </x:row>
    <x:row r="462">
      <x:c r="A462" s="24" t="n">
        <x:v>461</x:v>
      </x:c>
      <x:c r="B462" s="24" t="str">
        <x:v>TSM3-L-076</x:v>
      </x:c>
      <x:c r="C462" s="24" t="str">
        <x:v>Siswa TSM3 L-076</x:v>
      </x:c>
      <x:c r="D462" s="24" t="str">
        <x:v>TSM / Teknik Sepeda Motor</x:v>
      </x:c>
      <x:c r="E462" s="24" t="str">
        <x:v>TSM 3</x:v>
      </x:c>
      <x:c r="F462" s="24" t="str">
        <x:v>Laki-laki</x:v>
      </x:c>
      <x:c r="G462" s="24" t="str">
        <x:v>Tidak minat</x:v>
      </x:c>
      <x:c r="H462" s="26" t="n">
        <x:f>Probabilitas!$C$4*INDEX(Probabilitas!$C$10:$C$11,MATCH(D462,Probabilitas!$A$10:$A$11,0))*INDEX(Probabilitas!$C$16:$C$22,MATCH(E462,Probabilitas!$A$16:$A$22,0))*INDEX(Probabilitas!$C$27:$C$28,MATCH(F462,Probabilitas!$A$27:$A$28,0))</x:f>
        <x:v>0.0000043025662753556825</x:v>
      </x:c>
      <x:c r="I462" s="26" t="n">
        <x:f>Probabilitas!$C$5*INDEX(Probabilitas!$E$10:$E$11,MATCH(D462,Probabilitas!$A$10:$A$11,0))*INDEX(Probabilitas!$E$16:$E$22,MATCH(E462,Probabilitas!$A$16:$A$22,0))*INDEX(Probabilitas!$E$27:$E$28,MATCH(F462,Probabilitas!$A$27:$A$28,0))</x:f>
        <x:v>0.14007046891746672</x:v>
      </x:c>
      <x:c r="J462" s="26" t="n">
        <x:f>IFERROR(H462/(H462+I462),0)</x:f>
        <x:v>0.000030716211276168776</x:v>
      </x:c>
      <x:c r="K462" s="26" t="n">
        <x:f>IFERROR(I462/(H462+I462),0)</x:f>
        <x:v>0.999969283788724</x:v>
      </x:c>
      <x:c r="L462" s="24" t="str">
        <x:f>IF(J462&gt;=K462,"Minat","Tidak minat")</x:f>
        <x:v>Tidak minat</x:v>
      </x:c>
      <x:c r="M462" s="24" t="str">
        <x:f>IF(L462=G462,"Sesuai label latih","Berbeda dari label latih")</x:f>
        <x:v>Sesuai label latih</x:v>
      </x:c>
    </x:row>
    <x:row r="463">
      <x:c r="A463" s="24" t="n">
        <x:v>462</x:v>
      </x:c>
      <x:c r="B463" s="24" t="str">
        <x:v>TSM3-L-077</x:v>
      </x:c>
      <x:c r="C463" s="24" t="str">
        <x:v>Siswa TSM3 L-077</x:v>
      </x:c>
      <x:c r="D463" s="24" t="str">
        <x:v>TSM / Teknik Sepeda Motor</x:v>
      </x:c>
      <x:c r="E463" s="24" t="str">
        <x:v>TSM 3</x:v>
      </x:c>
      <x:c r="F463" s="24" t="str">
        <x:v>Laki-laki</x:v>
      </x:c>
      <x:c r="G463" s="24" t="str">
        <x:v>Tidak minat</x:v>
      </x:c>
      <x:c r="H463" s="26" t="n">
        <x:f>Probabilitas!$C$4*INDEX(Probabilitas!$C$10:$C$11,MATCH(D463,Probabilitas!$A$10:$A$11,0))*INDEX(Probabilitas!$C$16:$C$22,MATCH(E463,Probabilitas!$A$16:$A$22,0))*INDEX(Probabilitas!$C$27:$C$28,MATCH(F463,Probabilitas!$A$27:$A$28,0))</x:f>
        <x:v>0.0000043025662753556825</x:v>
      </x:c>
      <x:c r="I463" s="26" t="n">
        <x:f>Probabilitas!$C$5*INDEX(Probabilitas!$E$10:$E$11,MATCH(D463,Probabilitas!$A$10:$A$11,0))*INDEX(Probabilitas!$E$16:$E$22,MATCH(E463,Probabilitas!$A$16:$A$22,0))*INDEX(Probabilitas!$E$27:$E$28,MATCH(F463,Probabilitas!$A$27:$A$28,0))</x:f>
        <x:v>0.14007046891746672</x:v>
      </x:c>
      <x:c r="J463" s="26" t="n">
        <x:f>IFERROR(H463/(H463+I463),0)</x:f>
        <x:v>0.000030716211276168776</x:v>
      </x:c>
      <x:c r="K463" s="26" t="n">
        <x:f>IFERROR(I463/(H463+I463),0)</x:f>
        <x:v>0.999969283788724</x:v>
      </x:c>
      <x:c r="L463" s="24" t="str">
        <x:f>IF(J463&gt;=K463,"Minat","Tidak minat")</x:f>
        <x:v>Tidak minat</x:v>
      </x:c>
      <x:c r="M463" s="24" t="str">
        <x:f>IF(L463=G463,"Sesuai label latih","Berbeda dari label latih")</x:f>
        <x:v>Sesuai label latih</x:v>
      </x:c>
    </x:row>
    <x:row r="464">
      <x:c r="A464" s="24" t="n">
        <x:v>463</x:v>
      </x:c>
      <x:c r="B464" s="24" t="str">
        <x:v>TSM3-L-078</x:v>
      </x:c>
      <x:c r="C464" s="24" t="str">
        <x:v>Siswa TSM3 L-078</x:v>
      </x:c>
      <x:c r="D464" s="24" t="str">
        <x:v>TSM / Teknik Sepeda Motor</x:v>
      </x:c>
      <x:c r="E464" s="24" t="str">
        <x:v>TSM 3</x:v>
      </x:c>
      <x:c r="F464" s="24" t="str">
        <x:v>Laki-laki</x:v>
      </x:c>
      <x:c r="G464" s="24" t="str">
        <x:v>Tidak minat</x:v>
      </x:c>
      <x:c r="H464" s="26" t="n">
        <x:f>Probabilitas!$C$4*INDEX(Probabilitas!$C$10:$C$11,MATCH(D464,Probabilitas!$A$10:$A$11,0))*INDEX(Probabilitas!$C$16:$C$22,MATCH(E464,Probabilitas!$A$16:$A$22,0))*INDEX(Probabilitas!$C$27:$C$28,MATCH(F464,Probabilitas!$A$27:$A$28,0))</x:f>
        <x:v>0.0000043025662753556825</x:v>
      </x:c>
      <x:c r="I464" s="26" t="n">
        <x:f>Probabilitas!$C$5*INDEX(Probabilitas!$E$10:$E$11,MATCH(D464,Probabilitas!$A$10:$A$11,0))*INDEX(Probabilitas!$E$16:$E$22,MATCH(E464,Probabilitas!$A$16:$A$22,0))*INDEX(Probabilitas!$E$27:$E$28,MATCH(F464,Probabilitas!$A$27:$A$28,0))</x:f>
        <x:v>0.14007046891746672</x:v>
      </x:c>
      <x:c r="J464" s="26" t="n">
        <x:f>IFERROR(H464/(H464+I464),0)</x:f>
        <x:v>0.000030716211276168776</x:v>
      </x:c>
      <x:c r="K464" s="26" t="n">
        <x:f>IFERROR(I464/(H464+I464),0)</x:f>
        <x:v>0.999969283788724</x:v>
      </x:c>
      <x:c r="L464" s="24" t="str">
        <x:f>IF(J464&gt;=K464,"Minat","Tidak minat")</x:f>
        <x:v>Tidak minat</x:v>
      </x:c>
      <x:c r="M464" s="24" t="str">
        <x:f>IF(L464=G464,"Sesuai label latih","Berbeda dari label latih")</x:f>
        <x:v>Sesuai label latih</x:v>
      </x:c>
    </x:row>
    <x:row r="465">
      <x:c r="A465" s="24" t="n">
        <x:v>464</x:v>
      </x:c>
      <x:c r="B465" s="24" t="str">
        <x:v>TSM3-P-001</x:v>
      </x:c>
      <x:c r="C465" s="24" t="str">
        <x:v>Siswa TSM3 P-001</x:v>
      </x:c>
      <x:c r="D465" s="24" t="str">
        <x:v>TSM / Teknik Sepeda Motor</x:v>
      </x:c>
      <x:c r="E465" s="24" t="str">
        <x:v>TSM 3</x:v>
      </x:c>
      <x:c r="F465" s="24" t="str">
        <x:v>Perempuan</x:v>
      </x:c>
      <x:c r="G465" s="24" t="str">
        <x:v>Tidak minat</x:v>
      </x:c>
      <x:c r="H465" s="26" t="n">
        <x:f>Probabilitas!$C$4*INDEX(Probabilitas!$C$10:$C$11,MATCH(D465,Probabilitas!$A$10:$A$11,0))*INDEX(Probabilitas!$C$16:$C$22,MATCH(E465,Probabilitas!$A$16:$A$22,0))*INDEX(Probabilitas!$C$27:$C$28,MATCH(F465,Probabilitas!$A$27:$A$28,0))</x:f>
        <x:v>0.000004178453786643499</x:v>
      </x:c>
      <x:c r="I465" s="26" t="n">
        <x:f>Probabilitas!$C$5*INDEX(Probabilitas!$E$10:$E$11,MATCH(D465,Probabilitas!$A$10:$A$11,0))*INDEX(Probabilitas!$E$16:$E$22,MATCH(E465,Probabilitas!$A$16:$A$22,0))*INDEX(Probabilitas!$E$27:$E$28,MATCH(F465,Probabilitas!$A$27:$A$28,0))</x:f>
        <x:v>0.012929581746227695</x:v>
      </x:c>
      <x:c r="J465" s="26" t="n">
        <x:f>IFERROR(H465/(H465+I465),0)</x:f>
        <x:v>0.00032306566087709484</x:v>
      </x:c>
      <x:c r="K465" s="26" t="n">
        <x:f>IFERROR(I465/(H465+I465),0)</x:f>
        <x:v>0.9996769343391229</x:v>
      </x:c>
      <x:c r="L465" s="24" t="str">
        <x:f>IF(J465&gt;=K465,"Minat","Tidak minat")</x:f>
        <x:v>Tidak minat</x:v>
      </x:c>
      <x:c r="M465" s="24" t="str">
        <x:f>IF(L465=G465,"Sesuai label latih","Berbeda dari label latih")</x:f>
        <x:v>Sesuai label latih</x:v>
      </x:c>
    </x:row>
    <x:row r="466">
      <x:c r="A466" s="24" t="n">
        <x:v>465</x:v>
      </x:c>
      <x:c r="B466" s="24" t="str">
        <x:v>TSM3-P-002</x:v>
      </x:c>
      <x:c r="C466" s="24" t="str">
        <x:v>Siswa TSM3 P-002</x:v>
      </x:c>
      <x:c r="D466" s="24" t="str">
        <x:v>TSM / Teknik Sepeda Motor</x:v>
      </x:c>
      <x:c r="E466" s="24" t="str">
        <x:v>TSM 3</x:v>
      </x:c>
      <x:c r="F466" s="24" t="str">
        <x:v>Perempuan</x:v>
      </x:c>
      <x:c r="G466" s="24" t="str">
        <x:v>Tidak minat</x:v>
      </x:c>
      <x:c r="H466" s="26" t="n">
        <x:f>Probabilitas!$C$4*INDEX(Probabilitas!$C$10:$C$11,MATCH(D466,Probabilitas!$A$10:$A$11,0))*INDEX(Probabilitas!$C$16:$C$22,MATCH(E466,Probabilitas!$A$16:$A$22,0))*INDEX(Probabilitas!$C$27:$C$28,MATCH(F466,Probabilitas!$A$27:$A$28,0))</x:f>
        <x:v>0.000004178453786643499</x:v>
      </x:c>
      <x:c r="I466" s="26" t="n">
        <x:f>Probabilitas!$C$5*INDEX(Probabilitas!$E$10:$E$11,MATCH(D466,Probabilitas!$A$10:$A$11,0))*INDEX(Probabilitas!$E$16:$E$22,MATCH(E466,Probabilitas!$A$16:$A$22,0))*INDEX(Probabilitas!$E$27:$E$28,MATCH(F466,Probabilitas!$A$27:$A$28,0))</x:f>
        <x:v>0.012929581746227695</x:v>
      </x:c>
      <x:c r="J466" s="26" t="n">
        <x:f>IFERROR(H466/(H466+I466),0)</x:f>
        <x:v>0.00032306566087709484</x:v>
      </x:c>
      <x:c r="K466" s="26" t="n">
        <x:f>IFERROR(I466/(H466+I466),0)</x:f>
        <x:v>0.9996769343391229</x:v>
      </x:c>
      <x:c r="L466" s="24" t="str">
        <x:f>IF(J466&gt;=K466,"Minat","Tidak minat")</x:f>
        <x:v>Tidak minat</x:v>
      </x:c>
      <x:c r="M466" s="24" t="str">
        <x:f>IF(L466=G466,"Sesuai label latih","Berbeda dari label latih")</x:f>
        <x:v>Sesuai label latih</x:v>
      </x:c>
    </x:row>
    <x:row r="467">
      <x:c r="A467" s="24" t="n">
        <x:v>466</x:v>
      </x:c>
      <x:c r="B467" s="24" t="str">
        <x:v>TSM3-P-003</x:v>
      </x:c>
      <x:c r="C467" s="24" t="str">
        <x:v>Siswa TSM3 P-003</x:v>
      </x:c>
      <x:c r="D467" s="24" t="str">
        <x:v>TSM / Teknik Sepeda Motor</x:v>
      </x:c>
      <x:c r="E467" s="24" t="str">
        <x:v>TSM 3</x:v>
      </x:c>
      <x:c r="F467" s="24" t="str">
        <x:v>Perempuan</x:v>
      </x:c>
      <x:c r="G467" s="24" t="str">
        <x:v>Tidak minat</x:v>
      </x:c>
      <x:c r="H467" s="26" t="n">
        <x:f>Probabilitas!$C$4*INDEX(Probabilitas!$C$10:$C$11,MATCH(D467,Probabilitas!$A$10:$A$11,0))*INDEX(Probabilitas!$C$16:$C$22,MATCH(E467,Probabilitas!$A$16:$A$22,0))*INDEX(Probabilitas!$C$27:$C$28,MATCH(F467,Probabilitas!$A$27:$A$28,0))</x:f>
        <x:v>0.000004178453786643499</x:v>
      </x:c>
      <x:c r="I467" s="26" t="n">
        <x:f>Probabilitas!$C$5*INDEX(Probabilitas!$E$10:$E$11,MATCH(D467,Probabilitas!$A$10:$A$11,0))*INDEX(Probabilitas!$E$16:$E$22,MATCH(E467,Probabilitas!$A$16:$A$22,0))*INDEX(Probabilitas!$E$27:$E$28,MATCH(F467,Probabilitas!$A$27:$A$28,0))</x:f>
        <x:v>0.012929581746227695</x:v>
      </x:c>
      <x:c r="J467" s="26" t="n">
        <x:f>IFERROR(H467/(H467+I467),0)</x:f>
        <x:v>0.00032306566087709484</x:v>
      </x:c>
      <x:c r="K467" s="26" t="n">
        <x:f>IFERROR(I467/(H467+I467),0)</x:f>
        <x:v>0.9996769343391229</x:v>
      </x:c>
      <x:c r="L467" s="24" t="str">
        <x:f>IF(J467&gt;=K467,"Minat","Tidak minat")</x:f>
        <x:v>Tidak minat</x:v>
      </x:c>
      <x:c r="M467" s="24" t="str">
        <x:f>IF(L467=G467,"Sesuai label latih","Berbeda dari label latih")</x:f>
        <x:v>Sesuai label latih</x:v>
      </x:c>
    </x:row>
    <x:row r="468">
      <x:c r="A468" s="24" t="n">
        <x:v>467</x:v>
      </x:c>
      <x:c r="B468" s="24" t="str">
        <x:v>TSM3-P-004</x:v>
      </x:c>
      <x:c r="C468" s="24" t="str">
        <x:v>Siswa TSM3 P-004</x:v>
      </x:c>
      <x:c r="D468" s="24" t="str">
        <x:v>TSM / Teknik Sepeda Motor</x:v>
      </x:c>
      <x:c r="E468" s="24" t="str">
        <x:v>TSM 3</x:v>
      </x:c>
      <x:c r="F468" s="24" t="str">
        <x:v>Perempuan</x:v>
      </x:c>
      <x:c r="G468" s="24" t="str">
        <x:v>Tidak minat</x:v>
      </x:c>
      <x:c r="H468" s="26" t="n">
        <x:f>Probabilitas!$C$4*INDEX(Probabilitas!$C$10:$C$11,MATCH(D468,Probabilitas!$A$10:$A$11,0))*INDEX(Probabilitas!$C$16:$C$22,MATCH(E468,Probabilitas!$A$16:$A$22,0))*INDEX(Probabilitas!$C$27:$C$28,MATCH(F468,Probabilitas!$A$27:$A$28,0))</x:f>
        <x:v>0.000004178453786643499</x:v>
      </x:c>
      <x:c r="I468" s="26" t="n">
        <x:f>Probabilitas!$C$5*INDEX(Probabilitas!$E$10:$E$11,MATCH(D468,Probabilitas!$A$10:$A$11,0))*INDEX(Probabilitas!$E$16:$E$22,MATCH(E468,Probabilitas!$A$16:$A$22,0))*INDEX(Probabilitas!$E$27:$E$28,MATCH(F468,Probabilitas!$A$27:$A$28,0))</x:f>
        <x:v>0.012929581746227695</x:v>
      </x:c>
      <x:c r="J468" s="26" t="n">
        <x:f>IFERROR(H468/(H468+I468),0)</x:f>
        <x:v>0.00032306566087709484</x:v>
      </x:c>
      <x:c r="K468" s="26" t="n">
        <x:f>IFERROR(I468/(H468+I468),0)</x:f>
        <x:v>0.9996769343391229</x:v>
      </x:c>
      <x:c r="L468" s="24" t="str">
        <x:f>IF(J468&gt;=K468,"Minat","Tidak minat")</x:f>
        <x:v>Tidak minat</x:v>
      </x:c>
      <x:c r="M468" s="24" t="str">
        <x:f>IF(L468=G468,"Sesuai label latih","Berbeda dari label latih")</x:f>
        <x:v>Sesuai label latih</x:v>
      </x:c>
    </x:row>
    <x:row r="469">
      <x:c r="A469" s="24" t="n">
        <x:v>468</x:v>
      </x:c>
      <x:c r="B469" s="24" t="str">
        <x:v>TSM3-P-005</x:v>
      </x:c>
      <x:c r="C469" s="24" t="str">
        <x:v>Siswa TSM3 P-005</x:v>
      </x:c>
      <x:c r="D469" s="24" t="str">
        <x:v>TSM / Teknik Sepeda Motor</x:v>
      </x:c>
      <x:c r="E469" s="24" t="str">
        <x:v>TSM 3</x:v>
      </x:c>
      <x:c r="F469" s="24" t="str">
        <x:v>Perempuan</x:v>
      </x:c>
      <x:c r="G469" s="24" t="str">
        <x:v>Tidak minat</x:v>
      </x:c>
      <x:c r="H469" s="26" t="n">
        <x:f>Probabilitas!$C$4*INDEX(Probabilitas!$C$10:$C$11,MATCH(D469,Probabilitas!$A$10:$A$11,0))*INDEX(Probabilitas!$C$16:$C$22,MATCH(E469,Probabilitas!$A$16:$A$22,0))*INDEX(Probabilitas!$C$27:$C$28,MATCH(F469,Probabilitas!$A$27:$A$28,0))</x:f>
        <x:v>0.000004178453786643499</x:v>
      </x:c>
      <x:c r="I469" s="26" t="n">
        <x:f>Probabilitas!$C$5*INDEX(Probabilitas!$E$10:$E$11,MATCH(D469,Probabilitas!$A$10:$A$11,0))*INDEX(Probabilitas!$E$16:$E$22,MATCH(E469,Probabilitas!$A$16:$A$22,0))*INDEX(Probabilitas!$E$27:$E$28,MATCH(F469,Probabilitas!$A$27:$A$28,0))</x:f>
        <x:v>0.012929581746227695</x:v>
      </x:c>
      <x:c r="J469" s="26" t="n">
        <x:f>IFERROR(H469/(H469+I469),0)</x:f>
        <x:v>0.00032306566087709484</x:v>
      </x:c>
      <x:c r="K469" s="26" t="n">
        <x:f>IFERROR(I469/(H469+I469),0)</x:f>
        <x:v>0.9996769343391229</x:v>
      </x:c>
      <x:c r="L469" s="24" t="str">
        <x:f>IF(J469&gt;=K469,"Minat","Tidak minat")</x:f>
        <x:v>Tidak minat</x:v>
      </x:c>
      <x:c r="M469" s="24" t="str">
        <x:f>IF(L469=G469,"Sesuai label latih","Berbeda dari label latih")</x:f>
        <x:v>Sesuai label latih</x:v>
      </x:c>
    </x:row>
    <x:row r="470">
      <x:c r="A470" s="24" t="n">
        <x:v>469</x:v>
      </x:c>
      <x:c r="B470" s="24" t="str">
        <x:v>TSM3-P-006</x:v>
      </x:c>
      <x:c r="C470" s="24" t="str">
        <x:v>Siswa TSM3 P-006</x:v>
      </x:c>
      <x:c r="D470" s="24" t="str">
        <x:v>TSM / Teknik Sepeda Motor</x:v>
      </x:c>
      <x:c r="E470" s="24" t="str">
        <x:v>TSM 3</x:v>
      </x:c>
      <x:c r="F470" s="24" t="str">
        <x:v>Perempuan</x:v>
      </x:c>
      <x:c r="G470" s="24" t="str">
        <x:v>Tidak minat</x:v>
      </x:c>
      <x:c r="H470" s="26" t="n">
        <x:f>Probabilitas!$C$4*INDEX(Probabilitas!$C$10:$C$11,MATCH(D470,Probabilitas!$A$10:$A$11,0))*INDEX(Probabilitas!$C$16:$C$22,MATCH(E470,Probabilitas!$A$16:$A$22,0))*INDEX(Probabilitas!$C$27:$C$28,MATCH(F470,Probabilitas!$A$27:$A$28,0))</x:f>
        <x:v>0.000004178453786643499</x:v>
      </x:c>
      <x:c r="I470" s="26" t="n">
        <x:f>Probabilitas!$C$5*INDEX(Probabilitas!$E$10:$E$11,MATCH(D470,Probabilitas!$A$10:$A$11,0))*INDEX(Probabilitas!$E$16:$E$22,MATCH(E470,Probabilitas!$A$16:$A$22,0))*INDEX(Probabilitas!$E$27:$E$28,MATCH(F470,Probabilitas!$A$27:$A$28,0))</x:f>
        <x:v>0.012929581746227695</x:v>
      </x:c>
      <x:c r="J470" s="26" t="n">
        <x:f>IFERROR(H470/(H470+I470),0)</x:f>
        <x:v>0.00032306566087709484</x:v>
      </x:c>
      <x:c r="K470" s="26" t="n">
        <x:f>IFERROR(I470/(H470+I470),0)</x:f>
        <x:v>0.9996769343391229</x:v>
      </x:c>
      <x:c r="L470" s="24" t="str">
        <x:f>IF(J470&gt;=K470,"Minat","Tidak minat")</x:f>
        <x:v>Tidak minat</x:v>
      </x:c>
      <x:c r="M470" s="24" t="str">
        <x:f>IF(L470=G470,"Sesuai label latih","Berbeda dari label latih")</x:f>
        <x:v>Sesuai label latih</x:v>
      </x:c>
    </x:row>
    <x:row r="471">
      <x:c r="A471" s="24" t="n">
        <x:v>470</x:v>
      </x:c>
      <x:c r="B471" s="24" t="str">
        <x:v>TSM3-P-007</x:v>
      </x:c>
      <x:c r="C471" s="24" t="str">
        <x:v>Siswa TSM3 P-007</x:v>
      </x:c>
      <x:c r="D471" s="24" t="str">
        <x:v>TSM / Teknik Sepeda Motor</x:v>
      </x:c>
      <x:c r="E471" s="24" t="str">
        <x:v>TSM 3</x:v>
      </x:c>
      <x:c r="F471" s="24" t="str">
        <x:v>Perempuan</x:v>
      </x:c>
      <x:c r="G471" s="24" t="str">
        <x:v>Tidak minat</x:v>
      </x:c>
      <x:c r="H471" s="26" t="n">
        <x:f>Probabilitas!$C$4*INDEX(Probabilitas!$C$10:$C$11,MATCH(D471,Probabilitas!$A$10:$A$11,0))*INDEX(Probabilitas!$C$16:$C$22,MATCH(E471,Probabilitas!$A$16:$A$22,0))*INDEX(Probabilitas!$C$27:$C$28,MATCH(F471,Probabilitas!$A$27:$A$28,0))</x:f>
        <x:v>0.000004178453786643499</x:v>
      </x:c>
      <x:c r="I471" s="26" t="n">
        <x:f>Probabilitas!$C$5*INDEX(Probabilitas!$E$10:$E$11,MATCH(D471,Probabilitas!$A$10:$A$11,0))*INDEX(Probabilitas!$E$16:$E$22,MATCH(E471,Probabilitas!$A$16:$A$22,0))*INDEX(Probabilitas!$E$27:$E$28,MATCH(F471,Probabilitas!$A$27:$A$28,0))</x:f>
        <x:v>0.012929581746227695</x:v>
      </x:c>
      <x:c r="J471" s="26" t="n">
        <x:f>IFERROR(H471/(H471+I471),0)</x:f>
        <x:v>0.00032306566087709484</x:v>
      </x:c>
      <x:c r="K471" s="26" t="n">
        <x:f>IFERROR(I471/(H471+I471),0)</x:f>
        <x:v>0.9996769343391229</x:v>
      </x:c>
      <x:c r="L471" s="24" t="str">
        <x:f>IF(J471&gt;=K471,"Minat","Tidak minat")</x:f>
        <x:v>Tidak minat</x:v>
      </x:c>
      <x:c r="M471" s="24" t="str">
        <x:f>IF(L471=G471,"Sesuai label latih","Berbeda dari label latih")</x:f>
        <x:v>Sesuai label latih</x:v>
      </x:c>
    </x:row>
    <x:row r="472">
      <x:c r="A472" s="24" t="n">
        <x:v>471</x:v>
      </x:c>
      <x:c r="B472" s="24" t="str">
        <x:v>TSM3-P-008</x:v>
      </x:c>
      <x:c r="C472" s="24" t="str">
        <x:v>Siswa TSM3 P-008</x:v>
      </x:c>
      <x:c r="D472" s="24" t="str">
        <x:v>TSM / Teknik Sepeda Motor</x:v>
      </x:c>
      <x:c r="E472" s="24" t="str">
        <x:v>TSM 3</x:v>
      </x:c>
      <x:c r="F472" s="24" t="str">
        <x:v>Perempuan</x:v>
      </x:c>
      <x:c r="G472" s="24" t="str">
        <x:v>Tidak minat</x:v>
      </x:c>
      <x:c r="H472" s="26" t="n">
        <x:f>Probabilitas!$C$4*INDEX(Probabilitas!$C$10:$C$11,MATCH(D472,Probabilitas!$A$10:$A$11,0))*INDEX(Probabilitas!$C$16:$C$22,MATCH(E472,Probabilitas!$A$16:$A$22,0))*INDEX(Probabilitas!$C$27:$C$28,MATCH(F472,Probabilitas!$A$27:$A$28,0))</x:f>
        <x:v>0.000004178453786643499</x:v>
      </x:c>
      <x:c r="I472" s="26" t="n">
        <x:f>Probabilitas!$C$5*INDEX(Probabilitas!$E$10:$E$11,MATCH(D472,Probabilitas!$A$10:$A$11,0))*INDEX(Probabilitas!$E$16:$E$22,MATCH(E472,Probabilitas!$A$16:$A$22,0))*INDEX(Probabilitas!$E$27:$E$28,MATCH(F472,Probabilitas!$A$27:$A$28,0))</x:f>
        <x:v>0.012929581746227695</x:v>
      </x:c>
      <x:c r="J472" s="26" t="n">
        <x:f>IFERROR(H472/(H472+I472),0)</x:f>
        <x:v>0.00032306566087709484</x:v>
      </x:c>
      <x:c r="K472" s="26" t="n">
        <x:f>IFERROR(I472/(H472+I472),0)</x:f>
        <x:v>0.9996769343391229</x:v>
      </x:c>
      <x:c r="L472" s="24" t="str">
        <x:f>IF(J472&gt;=K472,"Minat","Tidak minat")</x:f>
        <x:v>Tidak minat</x:v>
      </x:c>
      <x:c r="M472" s="24" t="str">
        <x:f>IF(L472=G472,"Sesuai label latih","Berbeda dari label latih")</x:f>
        <x:v>Sesuai label latih</x:v>
      </x:c>
    </x:row>
    <x:row r="473">
      <x:c r="A473" s="24" t="n">
        <x:v>472</x:v>
      </x:c>
      <x:c r="B473" s="24" t="str">
        <x:v>TSM4-L-001</x:v>
      </x:c>
      <x:c r="C473" s="24" t="str">
        <x:v>Siswa TSM4 L-001</x:v>
      </x:c>
      <x:c r="D473" s="24" t="str">
        <x:v>TSM / Teknik Sepeda Motor</x:v>
      </x:c>
      <x:c r="E473" s="24" t="str">
        <x:v>TSM 4</x:v>
      </x:c>
      <x:c r="F473" s="24" t="str">
        <x:v>Laki-laki</x:v>
      </x:c>
      <x:c r="G473" s="24" t="str">
        <x:v>Tidak minat</x:v>
      </x:c>
      <x:c r="H473" s="26" t="n">
        <x:f>Probabilitas!$C$4*INDEX(Probabilitas!$C$10:$C$11,MATCH(D473,Probabilitas!$A$10:$A$11,0))*INDEX(Probabilitas!$C$16:$C$22,MATCH(E473,Probabilitas!$A$16:$A$22,0))*INDEX(Probabilitas!$C$27:$C$28,MATCH(F473,Probabilitas!$A$27:$A$28,0))</x:f>
        <x:v>0.0000043025662753556825</x:v>
      </x:c>
      <x:c r="I473" s="26" t="n">
        <x:f>Probabilitas!$C$5*INDEX(Probabilitas!$E$10:$E$11,MATCH(D473,Probabilitas!$A$10:$A$11,0))*INDEX(Probabilitas!$E$16:$E$22,MATCH(E473,Probabilitas!$A$16:$A$22,0))*INDEX(Probabilitas!$E$27:$E$28,MATCH(F473,Probabilitas!$A$27:$A$28,0))</x:f>
        <x:v>0.1384604635276108</x:v>
      </x:c>
      <x:c r="J473" s="26" t="n">
        <x:f>IFERROR(H473/(H473+I473),0)</x:f>
        <x:v>0.00003107336542523984</x:v>
      </x:c>
      <x:c r="K473" s="26" t="n">
        <x:f>IFERROR(I473/(H473+I473),0)</x:f>
        <x:v>0.9999689266345748</x:v>
      </x:c>
      <x:c r="L473" s="24" t="str">
        <x:f>IF(J473&gt;=K473,"Minat","Tidak minat")</x:f>
        <x:v>Tidak minat</x:v>
      </x:c>
      <x:c r="M473" s="24" t="str">
        <x:f>IF(L473=G473,"Sesuai label latih","Berbeda dari label latih")</x:f>
        <x:v>Sesuai label latih</x:v>
      </x:c>
    </x:row>
    <x:row r="474">
      <x:c r="A474" s="24" t="n">
        <x:v>473</x:v>
      </x:c>
      <x:c r="B474" s="24" t="str">
        <x:v>TSM4-L-002</x:v>
      </x:c>
      <x:c r="C474" s="24" t="str">
        <x:v>Siswa TSM4 L-002</x:v>
      </x:c>
      <x:c r="D474" s="24" t="str">
        <x:v>TSM / Teknik Sepeda Motor</x:v>
      </x:c>
      <x:c r="E474" s="24" t="str">
        <x:v>TSM 4</x:v>
      </x:c>
      <x:c r="F474" s="24" t="str">
        <x:v>Laki-laki</x:v>
      </x:c>
      <x:c r="G474" s="24" t="str">
        <x:v>Tidak minat</x:v>
      </x:c>
      <x:c r="H474" s="26" t="n">
        <x:f>Probabilitas!$C$4*INDEX(Probabilitas!$C$10:$C$11,MATCH(D474,Probabilitas!$A$10:$A$11,0))*INDEX(Probabilitas!$C$16:$C$22,MATCH(E474,Probabilitas!$A$16:$A$22,0))*INDEX(Probabilitas!$C$27:$C$28,MATCH(F474,Probabilitas!$A$27:$A$28,0))</x:f>
        <x:v>0.0000043025662753556825</x:v>
      </x:c>
      <x:c r="I474" s="26" t="n">
        <x:f>Probabilitas!$C$5*INDEX(Probabilitas!$E$10:$E$11,MATCH(D474,Probabilitas!$A$10:$A$11,0))*INDEX(Probabilitas!$E$16:$E$22,MATCH(E474,Probabilitas!$A$16:$A$22,0))*INDEX(Probabilitas!$E$27:$E$28,MATCH(F474,Probabilitas!$A$27:$A$28,0))</x:f>
        <x:v>0.1384604635276108</x:v>
      </x:c>
      <x:c r="J474" s="26" t="n">
        <x:f>IFERROR(H474/(H474+I474),0)</x:f>
        <x:v>0.00003107336542523984</x:v>
      </x:c>
      <x:c r="K474" s="26" t="n">
        <x:f>IFERROR(I474/(H474+I474),0)</x:f>
        <x:v>0.9999689266345748</x:v>
      </x:c>
      <x:c r="L474" s="24" t="str">
        <x:f>IF(J474&gt;=K474,"Minat","Tidak minat")</x:f>
        <x:v>Tidak minat</x:v>
      </x:c>
      <x:c r="M474" s="24" t="str">
        <x:f>IF(L474=G474,"Sesuai label latih","Berbeda dari label latih")</x:f>
        <x:v>Sesuai label latih</x:v>
      </x:c>
    </x:row>
    <x:row r="475">
      <x:c r="A475" s="24" t="n">
        <x:v>474</x:v>
      </x:c>
      <x:c r="B475" s="24" t="str">
        <x:v>TSM4-L-003</x:v>
      </x:c>
      <x:c r="C475" s="24" t="str">
        <x:v>Siswa TSM4 L-003</x:v>
      </x:c>
      <x:c r="D475" s="24" t="str">
        <x:v>TSM / Teknik Sepeda Motor</x:v>
      </x:c>
      <x:c r="E475" s="24" t="str">
        <x:v>TSM 4</x:v>
      </x:c>
      <x:c r="F475" s="24" t="str">
        <x:v>Laki-laki</x:v>
      </x:c>
      <x:c r="G475" s="24" t="str">
        <x:v>Tidak minat</x:v>
      </x:c>
      <x:c r="H475" s="26" t="n">
        <x:f>Probabilitas!$C$4*INDEX(Probabilitas!$C$10:$C$11,MATCH(D475,Probabilitas!$A$10:$A$11,0))*INDEX(Probabilitas!$C$16:$C$22,MATCH(E475,Probabilitas!$A$16:$A$22,0))*INDEX(Probabilitas!$C$27:$C$28,MATCH(F475,Probabilitas!$A$27:$A$28,0))</x:f>
        <x:v>0.0000043025662753556825</x:v>
      </x:c>
      <x:c r="I475" s="26" t="n">
        <x:f>Probabilitas!$C$5*INDEX(Probabilitas!$E$10:$E$11,MATCH(D475,Probabilitas!$A$10:$A$11,0))*INDEX(Probabilitas!$E$16:$E$22,MATCH(E475,Probabilitas!$A$16:$A$22,0))*INDEX(Probabilitas!$E$27:$E$28,MATCH(F475,Probabilitas!$A$27:$A$28,0))</x:f>
        <x:v>0.1384604635276108</x:v>
      </x:c>
      <x:c r="J475" s="26" t="n">
        <x:f>IFERROR(H475/(H475+I475),0)</x:f>
        <x:v>0.00003107336542523984</x:v>
      </x:c>
      <x:c r="K475" s="26" t="n">
        <x:f>IFERROR(I475/(H475+I475),0)</x:f>
        <x:v>0.9999689266345748</x:v>
      </x:c>
      <x:c r="L475" s="24" t="str">
        <x:f>IF(J475&gt;=K475,"Minat","Tidak minat")</x:f>
        <x:v>Tidak minat</x:v>
      </x:c>
      <x:c r="M475" s="24" t="str">
        <x:f>IF(L475=G475,"Sesuai label latih","Berbeda dari label latih")</x:f>
        <x:v>Sesuai label latih</x:v>
      </x:c>
    </x:row>
    <x:row r="476">
      <x:c r="A476" s="24" t="n">
        <x:v>475</x:v>
      </x:c>
      <x:c r="B476" s="24" t="str">
        <x:v>TSM4-L-004</x:v>
      </x:c>
      <x:c r="C476" s="24" t="str">
        <x:v>Siswa TSM4 L-004</x:v>
      </x:c>
      <x:c r="D476" s="24" t="str">
        <x:v>TSM / Teknik Sepeda Motor</x:v>
      </x:c>
      <x:c r="E476" s="24" t="str">
        <x:v>TSM 4</x:v>
      </x:c>
      <x:c r="F476" s="24" t="str">
        <x:v>Laki-laki</x:v>
      </x:c>
      <x:c r="G476" s="24" t="str">
        <x:v>Tidak minat</x:v>
      </x:c>
      <x:c r="H476" s="26" t="n">
        <x:f>Probabilitas!$C$4*INDEX(Probabilitas!$C$10:$C$11,MATCH(D476,Probabilitas!$A$10:$A$11,0))*INDEX(Probabilitas!$C$16:$C$22,MATCH(E476,Probabilitas!$A$16:$A$22,0))*INDEX(Probabilitas!$C$27:$C$28,MATCH(F476,Probabilitas!$A$27:$A$28,0))</x:f>
        <x:v>0.0000043025662753556825</x:v>
      </x:c>
      <x:c r="I476" s="26" t="n">
        <x:f>Probabilitas!$C$5*INDEX(Probabilitas!$E$10:$E$11,MATCH(D476,Probabilitas!$A$10:$A$11,0))*INDEX(Probabilitas!$E$16:$E$22,MATCH(E476,Probabilitas!$A$16:$A$22,0))*INDEX(Probabilitas!$E$27:$E$28,MATCH(F476,Probabilitas!$A$27:$A$28,0))</x:f>
        <x:v>0.1384604635276108</x:v>
      </x:c>
      <x:c r="J476" s="26" t="n">
        <x:f>IFERROR(H476/(H476+I476),0)</x:f>
        <x:v>0.00003107336542523984</x:v>
      </x:c>
      <x:c r="K476" s="26" t="n">
        <x:f>IFERROR(I476/(H476+I476),0)</x:f>
        <x:v>0.9999689266345748</x:v>
      </x:c>
      <x:c r="L476" s="24" t="str">
        <x:f>IF(J476&gt;=K476,"Minat","Tidak minat")</x:f>
        <x:v>Tidak minat</x:v>
      </x:c>
      <x:c r="M476" s="24" t="str">
        <x:f>IF(L476=G476,"Sesuai label latih","Berbeda dari label latih")</x:f>
        <x:v>Sesuai label latih</x:v>
      </x:c>
    </x:row>
    <x:row r="477">
      <x:c r="A477" s="24" t="n">
        <x:v>476</x:v>
      </x:c>
      <x:c r="B477" s="24" t="str">
        <x:v>TSM4-L-005</x:v>
      </x:c>
      <x:c r="C477" s="24" t="str">
        <x:v>Siswa TSM4 L-005</x:v>
      </x:c>
      <x:c r="D477" s="24" t="str">
        <x:v>TSM / Teknik Sepeda Motor</x:v>
      </x:c>
      <x:c r="E477" s="24" t="str">
        <x:v>TSM 4</x:v>
      </x:c>
      <x:c r="F477" s="24" t="str">
        <x:v>Laki-laki</x:v>
      </x:c>
      <x:c r="G477" s="24" t="str">
        <x:v>Tidak minat</x:v>
      </x:c>
      <x:c r="H477" s="26" t="n">
        <x:f>Probabilitas!$C$4*INDEX(Probabilitas!$C$10:$C$11,MATCH(D477,Probabilitas!$A$10:$A$11,0))*INDEX(Probabilitas!$C$16:$C$22,MATCH(E477,Probabilitas!$A$16:$A$22,0))*INDEX(Probabilitas!$C$27:$C$28,MATCH(F477,Probabilitas!$A$27:$A$28,0))</x:f>
        <x:v>0.0000043025662753556825</x:v>
      </x:c>
      <x:c r="I477" s="26" t="n">
        <x:f>Probabilitas!$C$5*INDEX(Probabilitas!$E$10:$E$11,MATCH(D477,Probabilitas!$A$10:$A$11,0))*INDEX(Probabilitas!$E$16:$E$22,MATCH(E477,Probabilitas!$A$16:$A$22,0))*INDEX(Probabilitas!$E$27:$E$28,MATCH(F477,Probabilitas!$A$27:$A$28,0))</x:f>
        <x:v>0.1384604635276108</x:v>
      </x:c>
      <x:c r="J477" s="26" t="n">
        <x:f>IFERROR(H477/(H477+I477),0)</x:f>
        <x:v>0.00003107336542523984</x:v>
      </x:c>
      <x:c r="K477" s="26" t="n">
        <x:f>IFERROR(I477/(H477+I477),0)</x:f>
        <x:v>0.9999689266345748</x:v>
      </x:c>
      <x:c r="L477" s="24" t="str">
        <x:f>IF(J477&gt;=K477,"Minat","Tidak minat")</x:f>
        <x:v>Tidak minat</x:v>
      </x:c>
      <x:c r="M477" s="24" t="str">
        <x:f>IF(L477=G477,"Sesuai label latih","Berbeda dari label latih")</x:f>
        <x:v>Sesuai label latih</x:v>
      </x:c>
    </x:row>
    <x:row r="478">
      <x:c r="A478" s="24" t="n">
        <x:v>477</x:v>
      </x:c>
      <x:c r="B478" s="24" t="str">
        <x:v>TSM4-L-006</x:v>
      </x:c>
      <x:c r="C478" s="24" t="str">
        <x:v>Siswa TSM4 L-006</x:v>
      </x:c>
      <x:c r="D478" s="24" t="str">
        <x:v>TSM / Teknik Sepeda Motor</x:v>
      </x:c>
      <x:c r="E478" s="24" t="str">
        <x:v>TSM 4</x:v>
      </x:c>
      <x:c r="F478" s="24" t="str">
        <x:v>Laki-laki</x:v>
      </x:c>
      <x:c r="G478" s="24" t="str">
        <x:v>Tidak minat</x:v>
      </x:c>
      <x:c r="H478" s="26" t="n">
        <x:f>Probabilitas!$C$4*INDEX(Probabilitas!$C$10:$C$11,MATCH(D478,Probabilitas!$A$10:$A$11,0))*INDEX(Probabilitas!$C$16:$C$22,MATCH(E478,Probabilitas!$A$16:$A$22,0))*INDEX(Probabilitas!$C$27:$C$28,MATCH(F478,Probabilitas!$A$27:$A$28,0))</x:f>
        <x:v>0.0000043025662753556825</x:v>
      </x:c>
      <x:c r="I478" s="26" t="n">
        <x:f>Probabilitas!$C$5*INDEX(Probabilitas!$E$10:$E$11,MATCH(D478,Probabilitas!$A$10:$A$11,0))*INDEX(Probabilitas!$E$16:$E$22,MATCH(E478,Probabilitas!$A$16:$A$22,0))*INDEX(Probabilitas!$E$27:$E$28,MATCH(F478,Probabilitas!$A$27:$A$28,0))</x:f>
        <x:v>0.1384604635276108</x:v>
      </x:c>
      <x:c r="J478" s="26" t="n">
        <x:f>IFERROR(H478/(H478+I478),0)</x:f>
        <x:v>0.00003107336542523984</x:v>
      </x:c>
      <x:c r="K478" s="26" t="n">
        <x:f>IFERROR(I478/(H478+I478),0)</x:f>
        <x:v>0.9999689266345748</x:v>
      </x:c>
      <x:c r="L478" s="24" t="str">
        <x:f>IF(J478&gt;=K478,"Minat","Tidak minat")</x:f>
        <x:v>Tidak minat</x:v>
      </x:c>
      <x:c r="M478" s="24" t="str">
        <x:f>IF(L478=G478,"Sesuai label latih","Berbeda dari label latih")</x:f>
        <x:v>Sesuai label latih</x:v>
      </x:c>
    </x:row>
    <x:row r="479">
      <x:c r="A479" s="24" t="n">
        <x:v>478</x:v>
      </x:c>
      <x:c r="B479" s="24" t="str">
        <x:v>TSM4-L-007</x:v>
      </x:c>
      <x:c r="C479" s="24" t="str">
        <x:v>Siswa TSM4 L-007</x:v>
      </x:c>
      <x:c r="D479" s="24" t="str">
        <x:v>TSM / Teknik Sepeda Motor</x:v>
      </x:c>
      <x:c r="E479" s="24" t="str">
        <x:v>TSM 4</x:v>
      </x:c>
      <x:c r="F479" s="24" t="str">
        <x:v>Laki-laki</x:v>
      </x:c>
      <x:c r="G479" s="24" t="str">
        <x:v>Tidak minat</x:v>
      </x:c>
      <x:c r="H479" s="26" t="n">
        <x:f>Probabilitas!$C$4*INDEX(Probabilitas!$C$10:$C$11,MATCH(D479,Probabilitas!$A$10:$A$11,0))*INDEX(Probabilitas!$C$16:$C$22,MATCH(E479,Probabilitas!$A$16:$A$22,0))*INDEX(Probabilitas!$C$27:$C$28,MATCH(F479,Probabilitas!$A$27:$A$28,0))</x:f>
        <x:v>0.0000043025662753556825</x:v>
      </x:c>
      <x:c r="I479" s="26" t="n">
        <x:f>Probabilitas!$C$5*INDEX(Probabilitas!$E$10:$E$11,MATCH(D479,Probabilitas!$A$10:$A$11,0))*INDEX(Probabilitas!$E$16:$E$22,MATCH(E479,Probabilitas!$A$16:$A$22,0))*INDEX(Probabilitas!$E$27:$E$28,MATCH(F479,Probabilitas!$A$27:$A$28,0))</x:f>
        <x:v>0.1384604635276108</x:v>
      </x:c>
      <x:c r="J479" s="26" t="n">
        <x:f>IFERROR(H479/(H479+I479),0)</x:f>
        <x:v>0.00003107336542523984</x:v>
      </x:c>
      <x:c r="K479" s="26" t="n">
        <x:f>IFERROR(I479/(H479+I479),0)</x:f>
        <x:v>0.9999689266345748</x:v>
      </x:c>
      <x:c r="L479" s="24" t="str">
        <x:f>IF(J479&gt;=K479,"Minat","Tidak minat")</x:f>
        <x:v>Tidak minat</x:v>
      </x:c>
      <x:c r="M479" s="24" t="str">
        <x:f>IF(L479=G479,"Sesuai label latih","Berbeda dari label latih")</x:f>
        <x:v>Sesuai label latih</x:v>
      </x:c>
    </x:row>
    <x:row r="480">
      <x:c r="A480" s="24" t="n">
        <x:v>479</x:v>
      </x:c>
      <x:c r="B480" s="24" t="str">
        <x:v>TSM4-L-008</x:v>
      </x:c>
      <x:c r="C480" s="24" t="str">
        <x:v>Siswa TSM4 L-008</x:v>
      </x:c>
      <x:c r="D480" s="24" t="str">
        <x:v>TSM / Teknik Sepeda Motor</x:v>
      </x:c>
      <x:c r="E480" s="24" t="str">
        <x:v>TSM 4</x:v>
      </x:c>
      <x:c r="F480" s="24" t="str">
        <x:v>Laki-laki</x:v>
      </x:c>
      <x:c r="G480" s="24" t="str">
        <x:v>Tidak minat</x:v>
      </x:c>
      <x:c r="H480" s="26" t="n">
        <x:f>Probabilitas!$C$4*INDEX(Probabilitas!$C$10:$C$11,MATCH(D480,Probabilitas!$A$10:$A$11,0))*INDEX(Probabilitas!$C$16:$C$22,MATCH(E480,Probabilitas!$A$16:$A$22,0))*INDEX(Probabilitas!$C$27:$C$28,MATCH(F480,Probabilitas!$A$27:$A$28,0))</x:f>
        <x:v>0.0000043025662753556825</x:v>
      </x:c>
      <x:c r="I480" s="26" t="n">
        <x:f>Probabilitas!$C$5*INDEX(Probabilitas!$E$10:$E$11,MATCH(D480,Probabilitas!$A$10:$A$11,0))*INDEX(Probabilitas!$E$16:$E$22,MATCH(E480,Probabilitas!$A$16:$A$22,0))*INDEX(Probabilitas!$E$27:$E$28,MATCH(F480,Probabilitas!$A$27:$A$28,0))</x:f>
        <x:v>0.1384604635276108</x:v>
      </x:c>
      <x:c r="J480" s="26" t="n">
        <x:f>IFERROR(H480/(H480+I480),0)</x:f>
        <x:v>0.00003107336542523984</x:v>
      </x:c>
      <x:c r="K480" s="26" t="n">
        <x:f>IFERROR(I480/(H480+I480),0)</x:f>
        <x:v>0.9999689266345748</x:v>
      </x:c>
      <x:c r="L480" s="24" t="str">
        <x:f>IF(J480&gt;=K480,"Minat","Tidak minat")</x:f>
        <x:v>Tidak minat</x:v>
      </x:c>
      <x:c r="M480" s="24" t="str">
        <x:f>IF(L480=G480,"Sesuai label latih","Berbeda dari label latih")</x:f>
        <x:v>Sesuai label latih</x:v>
      </x:c>
    </x:row>
    <x:row r="481">
      <x:c r="A481" s="24" t="n">
        <x:v>480</x:v>
      </x:c>
      <x:c r="B481" s="24" t="str">
        <x:v>TSM4-L-009</x:v>
      </x:c>
      <x:c r="C481" s="24" t="str">
        <x:v>Siswa TSM4 L-009</x:v>
      </x:c>
      <x:c r="D481" s="24" t="str">
        <x:v>TSM / Teknik Sepeda Motor</x:v>
      </x:c>
      <x:c r="E481" s="24" t="str">
        <x:v>TSM 4</x:v>
      </x:c>
      <x:c r="F481" s="24" t="str">
        <x:v>Laki-laki</x:v>
      </x:c>
      <x:c r="G481" s="24" t="str">
        <x:v>Tidak minat</x:v>
      </x:c>
      <x:c r="H481" s="26" t="n">
        <x:f>Probabilitas!$C$4*INDEX(Probabilitas!$C$10:$C$11,MATCH(D481,Probabilitas!$A$10:$A$11,0))*INDEX(Probabilitas!$C$16:$C$22,MATCH(E481,Probabilitas!$A$16:$A$22,0))*INDEX(Probabilitas!$C$27:$C$28,MATCH(F481,Probabilitas!$A$27:$A$28,0))</x:f>
        <x:v>0.0000043025662753556825</x:v>
      </x:c>
      <x:c r="I481" s="26" t="n">
        <x:f>Probabilitas!$C$5*INDEX(Probabilitas!$E$10:$E$11,MATCH(D481,Probabilitas!$A$10:$A$11,0))*INDEX(Probabilitas!$E$16:$E$22,MATCH(E481,Probabilitas!$A$16:$A$22,0))*INDEX(Probabilitas!$E$27:$E$28,MATCH(F481,Probabilitas!$A$27:$A$28,0))</x:f>
        <x:v>0.1384604635276108</x:v>
      </x:c>
      <x:c r="J481" s="26" t="n">
        <x:f>IFERROR(H481/(H481+I481),0)</x:f>
        <x:v>0.00003107336542523984</x:v>
      </x:c>
      <x:c r="K481" s="26" t="n">
        <x:f>IFERROR(I481/(H481+I481),0)</x:f>
        <x:v>0.9999689266345748</x:v>
      </x:c>
      <x:c r="L481" s="24" t="str">
        <x:f>IF(J481&gt;=K481,"Minat","Tidak minat")</x:f>
        <x:v>Tidak minat</x:v>
      </x:c>
      <x:c r="M481" s="24" t="str">
        <x:f>IF(L481=G481,"Sesuai label latih","Berbeda dari label latih")</x:f>
        <x:v>Sesuai label latih</x:v>
      </x:c>
    </x:row>
    <x:row r="482">
      <x:c r="A482" s="24" t="n">
        <x:v>481</x:v>
      </x:c>
      <x:c r="B482" s="24" t="str">
        <x:v>TSM4-L-010</x:v>
      </x:c>
      <x:c r="C482" s="24" t="str">
        <x:v>Siswa TSM4 L-010</x:v>
      </x:c>
      <x:c r="D482" s="24" t="str">
        <x:v>TSM / Teknik Sepeda Motor</x:v>
      </x:c>
      <x:c r="E482" s="24" t="str">
        <x:v>TSM 4</x:v>
      </x:c>
      <x:c r="F482" s="24" t="str">
        <x:v>Laki-laki</x:v>
      </x:c>
      <x:c r="G482" s="24" t="str">
        <x:v>Tidak minat</x:v>
      </x:c>
      <x:c r="H482" s="26" t="n">
        <x:f>Probabilitas!$C$4*INDEX(Probabilitas!$C$10:$C$11,MATCH(D482,Probabilitas!$A$10:$A$11,0))*INDEX(Probabilitas!$C$16:$C$22,MATCH(E482,Probabilitas!$A$16:$A$22,0))*INDEX(Probabilitas!$C$27:$C$28,MATCH(F482,Probabilitas!$A$27:$A$28,0))</x:f>
        <x:v>0.0000043025662753556825</x:v>
      </x:c>
      <x:c r="I482" s="26" t="n">
        <x:f>Probabilitas!$C$5*INDEX(Probabilitas!$E$10:$E$11,MATCH(D482,Probabilitas!$A$10:$A$11,0))*INDEX(Probabilitas!$E$16:$E$22,MATCH(E482,Probabilitas!$A$16:$A$22,0))*INDEX(Probabilitas!$E$27:$E$28,MATCH(F482,Probabilitas!$A$27:$A$28,0))</x:f>
        <x:v>0.1384604635276108</x:v>
      </x:c>
      <x:c r="J482" s="26" t="n">
        <x:f>IFERROR(H482/(H482+I482),0)</x:f>
        <x:v>0.00003107336542523984</x:v>
      </x:c>
      <x:c r="K482" s="26" t="n">
        <x:f>IFERROR(I482/(H482+I482),0)</x:f>
        <x:v>0.9999689266345748</x:v>
      </x:c>
      <x:c r="L482" s="24" t="str">
        <x:f>IF(J482&gt;=K482,"Minat","Tidak minat")</x:f>
        <x:v>Tidak minat</x:v>
      </x:c>
      <x:c r="M482" s="24" t="str">
        <x:f>IF(L482=G482,"Sesuai label latih","Berbeda dari label latih")</x:f>
        <x:v>Sesuai label latih</x:v>
      </x:c>
    </x:row>
    <x:row r="483">
      <x:c r="A483" s="24" t="n">
        <x:v>482</x:v>
      </x:c>
      <x:c r="B483" s="24" t="str">
        <x:v>TSM4-L-011</x:v>
      </x:c>
      <x:c r="C483" s="24" t="str">
        <x:v>Siswa TSM4 L-011</x:v>
      </x:c>
      <x:c r="D483" s="24" t="str">
        <x:v>TSM / Teknik Sepeda Motor</x:v>
      </x:c>
      <x:c r="E483" s="24" t="str">
        <x:v>TSM 4</x:v>
      </x:c>
      <x:c r="F483" s="24" t="str">
        <x:v>Laki-laki</x:v>
      </x:c>
      <x:c r="G483" s="24" t="str">
        <x:v>Tidak minat</x:v>
      </x:c>
      <x:c r="H483" s="26" t="n">
        <x:f>Probabilitas!$C$4*INDEX(Probabilitas!$C$10:$C$11,MATCH(D483,Probabilitas!$A$10:$A$11,0))*INDEX(Probabilitas!$C$16:$C$22,MATCH(E483,Probabilitas!$A$16:$A$22,0))*INDEX(Probabilitas!$C$27:$C$28,MATCH(F483,Probabilitas!$A$27:$A$28,0))</x:f>
        <x:v>0.0000043025662753556825</x:v>
      </x:c>
      <x:c r="I483" s="26" t="n">
        <x:f>Probabilitas!$C$5*INDEX(Probabilitas!$E$10:$E$11,MATCH(D483,Probabilitas!$A$10:$A$11,0))*INDEX(Probabilitas!$E$16:$E$22,MATCH(E483,Probabilitas!$A$16:$A$22,0))*INDEX(Probabilitas!$E$27:$E$28,MATCH(F483,Probabilitas!$A$27:$A$28,0))</x:f>
        <x:v>0.1384604635276108</x:v>
      </x:c>
      <x:c r="J483" s="26" t="n">
        <x:f>IFERROR(H483/(H483+I483),0)</x:f>
        <x:v>0.00003107336542523984</x:v>
      </x:c>
      <x:c r="K483" s="26" t="n">
        <x:f>IFERROR(I483/(H483+I483),0)</x:f>
        <x:v>0.9999689266345748</x:v>
      </x:c>
      <x:c r="L483" s="24" t="str">
        <x:f>IF(J483&gt;=K483,"Minat","Tidak minat")</x:f>
        <x:v>Tidak minat</x:v>
      </x:c>
      <x:c r="M483" s="24" t="str">
        <x:f>IF(L483=G483,"Sesuai label latih","Berbeda dari label latih")</x:f>
        <x:v>Sesuai label latih</x:v>
      </x:c>
    </x:row>
    <x:row r="484">
      <x:c r="A484" s="24" t="n">
        <x:v>483</x:v>
      </x:c>
      <x:c r="B484" s="24" t="str">
        <x:v>TSM4-L-012</x:v>
      </x:c>
      <x:c r="C484" s="24" t="str">
        <x:v>Siswa TSM4 L-012</x:v>
      </x:c>
      <x:c r="D484" s="24" t="str">
        <x:v>TSM / Teknik Sepeda Motor</x:v>
      </x:c>
      <x:c r="E484" s="24" t="str">
        <x:v>TSM 4</x:v>
      </x:c>
      <x:c r="F484" s="24" t="str">
        <x:v>Laki-laki</x:v>
      </x:c>
      <x:c r="G484" s="24" t="str">
        <x:v>Tidak minat</x:v>
      </x:c>
      <x:c r="H484" s="26" t="n">
        <x:f>Probabilitas!$C$4*INDEX(Probabilitas!$C$10:$C$11,MATCH(D484,Probabilitas!$A$10:$A$11,0))*INDEX(Probabilitas!$C$16:$C$22,MATCH(E484,Probabilitas!$A$16:$A$22,0))*INDEX(Probabilitas!$C$27:$C$28,MATCH(F484,Probabilitas!$A$27:$A$28,0))</x:f>
        <x:v>0.0000043025662753556825</x:v>
      </x:c>
      <x:c r="I484" s="26" t="n">
        <x:f>Probabilitas!$C$5*INDEX(Probabilitas!$E$10:$E$11,MATCH(D484,Probabilitas!$A$10:$A$11,0))*INDEX(Probabilitas!$E$16:$E$22,MATCH(E484,Probabilitas!$A$16:$A$22,0))*INDEX(Probabilitas!$E$27:$E$28,MATCH(F484,Probabilitas!$A$27:$A$28,0))</x:f>
        <x:v>0.1384604635276108</x:v>
      </x:c>
      <x:c r="J484" s="26" t="n">
        <x:f>IFERROR(H484/(H484+I484),0)</x:f>
        <x:v>0.00003107336542523984</x:v>
      </x:c>
      <x:c r="K484" s="26" t="n">
        <x:f>IFERROR(I484/(H484+I484),0)</x:f>
        <x:v>0.9999689266345748</x:v>
      </x:c>
      <x:c r="L484" s="24" t="str">
        <x:f>IF(J484&gt;=K484,"Minat","Tidak minat")</x:f>
        <x:v>Tidak minat</x:v>
      </x:c>
      <x:c r="M484" s="24" t="str">
        <x:f>IF(L484=G484,"Sesuai label latih","Berbeda dari label latih")</x:f>
        <x:v>Sesuai label latih</x:v>
      </x:c>
    </x:row>
    <x:row r="485">
      <x:c r="A485" s="24" t="n">
        <x:v>484</x:v>
      </x:c>
      <x:c r="B485" s="24" t="str">
        <x:v>TSM4-L-013</x:v>
      </x:c>
      <x:c r="C485" s="24" t="str">
        <x:v>Siswa TSM4 L-013</x:v>
      </x:c>
      <x:c r="D485" s="24" t="str">
        <x:v>TSM / Teknik Sepeda Motor</x:v>
      </x:c>
      <x:c r="E485" s="24" t="str">
        <x:v>TSM 4</x:v>
      </x:c>
      <x:c r="F485" s="24" t="str">
        <x:v>Laki-laki</x:v>
      </x:c>
      <x:c r="G485" s="24" t="str">
        <x:v>Tidak minat</x:v>
      </x:c>
      <x:c r="H485" s="26" t="n">
        <x:f>Probabilitas!$C$4*INDEX(Probabilitas!$C$10:$C$11,MATCH(D485,Probabilitas!$A$10:$A$11,0))*INDEX(Probabilitas!$C$16:$C$22,MATCH(E485,Probabilitas!$A$16:$A$22,0))*INDEX(Probabilitas!$C$27:$C$28,MATCH(F485,Probabilitas!$A$27:$A$28,0))</x:f>
        <x:v>0.0000043025662753556825</x:v>
      </x:c>
      <x:c r="I485" s="26" t="n">
        <x:f>Probabilitas!$C$5*INDEX(Probabilitas!$E$10:$E$11,MATCH(D485,Probabilitas!$A$10:$A$11,0))*INDEX(Probabilitas!$E$16:$E$22,MATCH(E485,Probabilitas!$A$16:$A$22,0))*INDEX(Probabilitas!$E$27:$E$28,MATCH(F485,Probabilitas!$A$27:$A$28,0))</x:f>
        <x:v>0.1384604635276108</x:v>
      </x:c>
      <x:c r="J485" s="26" t="n">
        <x:f>IFERROR(H485/(H485+I485),0)</x:f>
        <x:v>0.00003107336542523984</x:v>
      </x:c>
      <x:c r="K485" s="26" t="n">
        <x:f>IFERROR(I485/(H485+I485),0)</x:f>
        <x:v>0.9999689266345748</x:v>
      </x:c>
      <x:c r="L485" s="24" t="str">
        <x:f>IF(J485&gt;=K485,"Minat","Tidak minat")</x:f>
        <x:v>Tidak minat</x:v>
      </x:c>
      <x:c r="M485" s="24" t="str">
        <x:f>IF(L485=G485,"Sesuai label latih","Berbeda dari label latih")</x:f>
        <x:v>Sesuai label latih</x:v>
      </x:c>
    </x:row>
    <x:row r="486">
      <x:c r="A486" s="24" t="n">
        <x:v>485</x:v>
      </x:c>
      <x:c r="B486" s="24" t="str">
        <x:v>TSM4-L-014</x:v>
      </x:c>
      <x:c r="C486" s="24" t="str">
        <x:v>Siswa TSM4 L-014</x:v>
      </x:c>
      <x:c r="D486" s="24" t="str">
        <x:v>TSM / Teknik Sepeda Motor</x:v>
      </x:c>
      <x:c r="E486" s="24" t="str">
        <x:v>TSM 4</x:v>
      </x:c>
      <x:c r="F486" s="24" t="str">
        <x:v>Laki-laki</x:v>
      </x:c>
      <x:c r="G486" s="24" t="str">
        <x:v>Tidak minat</x:v>
      </x:c>
      <x:c r="H486" s="26" t="n">
        <x:f>Probabilitas!$C$4*INDEX(Probabilitas!$C$10:$C$11,MATCH(D486,Probabilitas!$A$10:$A$11,0))*INDEX(Probabilitas!$C$16:$C$22,MATCH(E486,Probabilitas!$A$16:$A$22,0))*INDEX(Probabilitas!$C$27:$C$28,MATCH(F486,Probabilitas!$A$27:$A$28,0))</x:f>
        <x:v>0.0000043025662753556825</x:v>
      </x:c>
      <x:c r="I486" s="26" t="n">
        <x:f>Probabilitas!$C$5*INDEX(Probabilitas!$E$10:$E$11,MATCH(D486,Probabilitas!$A$10:$A$11,0))*INDEX(Probabilitas!$E$16:$E$22,MATCH(E486,Probabilitas!$A$16:$A$22,0))*INDEX(Probabilitas!$E$27:$E$28,MATCH(F486,Probabilitas!$A$27:$A$28,0))</x:f>
        <x:v>0.1384604635276108</x:v>
      </x:c>
      <x:c r="J486" s="26" t="n">
        <x:f>IFERROR(H486/(H486+I486),0)</x:f>
        <x:v>0.00003107336542523984</x:v>
      </x:c>
      <x:c r="K486" s="26" t="n">
        <x:f>IFERROR(I486/(H486+I486),0)</x:f>
        <x:v>0.9999689266345748</x:v>
      </x:c>
      <x:c r="L486" s="24" t="str">
        <x:f>IF(J486&gt;=K486,"Minat","Tidak minat")</x:f>
        <x:v>Tidak minat</x:v>
      </x:c>
      <x:c r="M486" s="24" t="str">
        <x:f>IF(L486=G486,"Sesuai label latih","Berbeda dari label latih")</x:f>
        <x:v>Sesuai label latih</x:v>
      </x:c>
    </x:row>
    <x:row r="487">
      <x:c r="A487" s="24" t="n">
        <x:v>486</x:v>
      </x:c>
      <x:c r="B487" s="24" t="str">
        <x:v>TSM4-L-015</x:v>
      </x:c>
      <x:c r="C487" s="24" t="str">
        <x:v>Siswa TSM4 L-015</x:v>
      </x:c>
      <x:c r="D487" s="24" t="str">
        <x:v>TSM / Teknik Sepeda Motor</x:v>
      </x:c>
      <x:c r="E487" s="24" t="str">
        <x:v>TSM 4</x:v>
      </x:c>
      <x:c r="F487" s="24" t="str">
        <x:v>Laki-laki</x:v>
      </x:c>
      <x:c r="G487" s="24" t="str">
        <x:v>Tidak minat</x:v>
      </x:c>
      <x:c r="H487" s="26" t="n">
        <x:f>Probabilitas!$C$4*INDEX(Probabilitas!$C$10:$C$11,MATCH(D487,Probabilitas!$A$10:$A$11,0))*INDEX(Probabilitas!$C$16:$C$22,MATCH(E487,Probabilitas!$A$16:$A$22,0))*INDEX(Probabilitas!$C$27:$C$28,MATCH(F487,Probabilitas!$A$27:$A$28,0))</x:f>
        <x:v>0.0000043025662753556825</x:v>
      </x:c>
      <x:c r="I487" s="26" t="n">
        <x:f>Probabilitas!$C$5*INDEX(Probabilitas!$E$10:$E$11,MATCH(D487,Probabilitas!$A$10:$A$11,0))*INDEX(Probabilitas!$E$16:$E$22,MATCH(E487,Probabilitas!$A$16:$A$22,0))*INDEX(Probabilitas!$E$27:$E$28,MATCH(F487,Probabilitas!$A$27:$A$28,0))</x:f>
        <x:v>0.1384604635276108</x:v>
      </x:c>
      <x:c r="J487" s="26" t="n">
        <x:f>IFERROR(H487/(H487+I487),0)</x:f>
        <x:v>0.00003107336542523984</x:v>
      </x:c>
      <x:c r="K487" s="26" t="n">
        <x:f>IFERROR(I487/(H487+I487),0)</x:f>
        <x:v>0.9999689266345748</x:v>
      </x:c>
      <x:c r="L487" s="24" t="str">
        <x:f>IF(J487&gt;=K487,"Minat","Tidak minat")</x:f>
        <x:v>Tidak minat</x:v>
      </x:c>
      <x:c r="M487" s="24" t="str">
        <x:f>IF(L487=G487,"Sesuai label latih","Berbeda dari label latih")</x:f>
        <x:v>Sesuai label latih</x:v>
      </x:c>
    </x:row>
    <x:row r="488">
      <x:c r="A488" s="24" t="n">
        <x:v>487</x:v>
      </x:c>
      <x:c r="B488" s="24" t="str">
        <x:v>TSM4-L-016</x:v>
      </x:c>
      <x:c r="C488" s="24" t="str">
        <x:v>Siswa TSM4 L-016</x:v>
      </x:c>
      <x:c r="D488" s="24" t="str">
        <x:v>TSM / Teknik Sepeda Motor</x:v>
      </x:c>
      <x:c r="E488" s="24" t="str">
        <x:v>TSM 4</x:v>
      </x:c>
      <x:c r="F488" s="24" t="str">
        <x:v>Laki-laki</x:v>
      </x:c>
      <x:c r="G488" s="24" t="str">
        <x:v>Tidak minat</x:v>
      </x:c>
      <x:c r="H488" s="26" t="n">
        <x:f>Probabilitas!$C$4*INDEX(Probabilitas!$C$10:$C$11,MATCH(D488,Probabilitas!$A$10:$A$11,0))*INDEX(Probabilitas!$C$16:$C$22,MATCH(E488,Probabilitas!$A$16:$A$22,0))*INDEX(Probabilitas!$C$27:$C$28,MATCH(F488,Probabilitas!$A$27:$A$28,0))</x:f>
        <x:v>0.0000043025662753556825</x:v>
      </x:c>
      <x:c r="I488" s="26" t="n">
        <x:f>Probabilitas!$C$5*INDEX(Probabilitas!$E$10:$E$11,MATCH(D488,Probabilitas!$A$10:$A$11,0))*INDEX(Probabilitas!$E$16:$E$22,MATCH(E488,Probabilitas!$A$16:$A$22,0))*INDEX(Probabilitas!$E$27:$E$28,MATCH(F488,Probabilitas!$A$27:$A$28,0))</x:f>
        <x:v>0.1384604635276108</x:v>
      </x:c>
      <x:c r="J488" s="26" t="n">
        <x:f>IFERROR(H488/(H488+I488),0)</x:f>
        <x:v>0.00003107336542523984</x:v>
      </x:c>
      <x:c r="K488" s="26" t="n">
        <x:f>IFERROR(I488/(H488+I488),0)</x:f>
        <x:v>0.9999689266345748</x:v>
      </x:c>
      <x:c r="L488" s="24" t="str">
        <x:f>IF(J488&gt;=K488,"Minat","Tidak minat")</x:f>
        <x:v>Tidak minat</x:v>
      </x:c>
      <x:c r="M488" s="24" t="str">
        <x:f>IF(L488=G488,"Sesuai label latih","Berbeda dari label latih")</x:f>
        <x:v>Sesuai label latih</x:v>
      </x:c>
    </x:row>
    <x:row r="489">
      <x:c r="A489" s="24" t="n">
        <x:v>488</x:v>
      </x:c>
      <x:c r="B489" s="24" t="str">
        <x:v>TSM4-L-017</x:v>
      </x:c>
      <x:c r="C489" s="24" t="str">
        <x:v>Siswa TSM4 L-017</x:v>
      </x:c>
      <x:c r="D489" s="24" t="str">
        <x:v>TSM / Teknik Sepeda Motor</x:v>
      </x:c>
      <x:c r="E489" s="24" t="str">
        <x:v>TSM 4</x:v>
      </x:c>
      <x:c r="F489" s="24" t="str">
        <x:v>Laki-laki</x:v>
      </x:c>
      <x:c r="G489" s="24" t="str">
        <x:v>Tidak minat</x:v>
      </x:c>
      <x:c r="H489" s="26" t="n">
        <x:f>Probabilitas!$C$4*INDEX(Probabilitas!$C$10:$C$11,MATCH(D489,Probabilitas!$A$10:$A$11,0))*INDEX(Probabilitas!$C$16:$C$22,MATCH(E489,Probabilitas!$A$16:$A$22,0))*INDEX(Probabilitas!$C$27:$C$28,MATCH(F489,Probabilitas!$A$27:$A$28,0))</x:f>
        <x:v>0.0000043025662753556825</x:v>
      </x:c>
      <x:c r="I489" s="26" t="n">
        <x:f>Probabilitas!$C$5*INDEX(Probabilitas!$E$10:$E$11,MATCH(D489,Probabilitas!$A$10:$A$11,0))*INDEX(Probabilitas!$E$16:$E$22,MATCH(E489,Probabilitas!$A$16:$A$22,0))*INDEX(Probabilitas!$E$27:$E$28,MATCH(F489,Probabilitas!$A$27:$A$28,0))</x:f>
        <x:v>0.1384604635276108</x:v>
      </x:c>
      <x:c r="J489" s="26" t="n">
        <x:f>IFERROR(H489/(H489+I489),0)</x:f>
        <x:v>0.00003107336542523984</x:v>
      </x:c>
      <x:c r="K489" s="26" t="n">
        <x:f>IFERROR(I489/(H489+I489),0)</x:f>
        <x:v>0.9999689266345748</x:v>
      </x:c>
      <x:c r="L489" s="24" t="str">
        <x:f>IF(J489&gt;=K489,"Minat","Tidak minat")</x:f>
        <x:v>Tidak minat</x:v>
      </x:c>
      <x:c r="M489" s="24" t="str">
        <x:f>IF(L489=G489,"Sesuai label latih","Berbeda dari label latih")</x:f>
        <x:v>Sesuai label latih</x:v>
      </x:c>
    </x:row>
    <x:row r="490">
      <x:c r="A490" s="24" t="n">
        <x:v>489</x:v>
      </x:c>
      <x:c r="B490" s="24" t="str">
        <x:v>TSM4-L-018</x:v>
      </x:c>
      <x:c r="C490" s="24" t="str">
        <x:v>Siswa TSM4 L-018</x:v>
      </x:c>
      <x:c r="D490" s="24" t="str">
        <x:v>TSM / Teknik Sepeda Motor</x:v>
      </x:c>
      <x:c r="E490" s="24" t="str">
        <x:v>TSM 4</x:v>
      </x:c>
      <x:c r="F490" s="24" t="str">
        <x:v>Laki-laki</x:v>
      </x:c>
      <x:c r="G490" s="24" t="str">
        <x:v>Tidak minat</x:v>
      </x:c>
      <x:c r="H490" s="26" t="n">
        <x:f>Probabilitas!$C$4*INDEX(Probabilitas!$C$10:$C$11,MATCH(D490,Probabilitas!$A$10:$A$11,0))*INDEX(Probabilitas!$C$16:$C$22,MATCH(E490,Probabilitas!$A$16:$A$22,0))*INDEX(Probabilitas!$C$27:$C$28,MATCH(F490,Probabilitas!$A$27:$A$28,0))</x:f>
        <x:v>0.0000043025662753556825</x:v>
      </x:c>
      <x:c r="I490" s="26" t="n">
        <x:f>Probabilitas!$C$5*INDEX(Probabilitas!$E$10:$E$11,MATCH(D490,Probabilitas!$A$10:$A$11,0))*INDEX(Probabilitas!$E$16:$E$22,MATCH(E490,Probabilitas!$A$16:$A$22,0))*INDEX(Probabilitas!$E$27:$E$28,MATCH(F490,Probabilitas!$A$27:$A$28,0))</x:f>
        <x:v>0.1384604635276108</x:v>
      </x:c>
      <x:c r="J490" s="26" t="n">
        <x:f>IFERROR(H490/(H490+I490),0)</x:f>
        <x:v>0.00003107336542523984</x:v>
      </x:c>
      <x:c r="K490" s="26" t="n">
        <x:f>IFERROR(I490/(H490+I490),0)</x:f>
        <x:v>0.9999689266345748</x:v>
      </x:c>
      <x:c r="L490" s="24" t="str">
        <x:f>IF(J490&gt;=K490,"Minat","Tidak minat")</x:f>
        <x:v>Tidak minat</x:v>
      </x:c>
      <x:c r="M490" s="24" t="str">
        <x:f>IF(L490=G490,"Sesuai label latih","Berbeda dari label latih")</x:f>
        <x:v>Sesuai label latih</x:v>
      </x:c>
    </x:row>
    <x:row r="491">
      <x:c r="A491" s="24" t="n">
        <x:v>490</x:v>
      </x:c>
      <x:c r="B491" s="24" t="str">
        <x:v>TSM4-L-019</x:v>
      </x:c>
      <x:c r="C491" s="24" t="str">
        <x:v>Siswa TSM4 L-019</x:v>
      </x:c>
      <x:c r="D491" s="24" t="str">
        <x:v>TSM / Teknik Sepeda Motor</x:v>
      </x:c>
      <x:c r="E491" s="24" t="str">
        <x:v>TSM 4</x:v>
      </x:c>
      <x:c r="F491" s="24" t="str">
        <x:v>Laki-laki</x:v>
      </x:c>
      <x:c r="G491" s="24" t="str">
        <x:v>Tidak minat</x:v>
      </x:c>
      <x:c r="H491" s="26" t="n">
        <x:f>Probabilitas!$C$4*INDEX(Probabilitas!$C$10:$C$11,MATCH(D491,Probabilitas!$A$10:$A$11,0))*INDEX(Probabilitas!$C$16:$C$22,MATCH(E491,Probabilitas!$A$16:$A$22,0))*INDEX(Probabilitas!$C$27:$C$28,MATCH(F491,Probabilitas!$A$27:$A$28,0))</x:f>
        <x:v>0.0000043025662753556825</x:v>
      </x:c>
      <x:c r="I491" s="26" t="n">
        <x:f>Probabilitas!$C$5*INDEX(Probabilitas!$E$10:$E$11,MATCH(D491,Probabilitas!$A$10:$A$11,0))*INDEX(Probabilitas!$E$16:$E$22,MATCH(E491,Probabilitas!$A$16:$A$22,0))*INDEX(Probabilitas!$E$27:$E$28,MATCH(F491,Probabilitas!$A$27:$A$28,0))</x:f>
        <x:v>0.1384604635276108</x:v>
      </x:c>
      <x:c r="J491" s="26" t="n">
        <x:f>IFERROR(H491/(H491+I491),0)</x:f>
        <x:v>0.00003107336542523984</x:v>
      </x:c>
      <x:c r="K491" s="26" t="n">
        <x:f>IFERROR(I491/(H491+I491),0)</x:f>
        <x:v>0.9999689266345748</x:v>
      </x:c>
      <x:c r="L491" s="24" t="str">
        <x:f>IF(J491&gt;=K491,"Minat","Tidak minat")</x:f>
        <x:v>Tidak minat</x:v>
      </x:c>
      <x:c r="M491" s="24" t="str">
        <x:f>IF(L491=G491,"Sesuai label latih","Berbeda dari label latih")</x:f>
        <x:v>Sesuai label latih</x:v>
      </x:c>
    </x:row>
    <x:row r="492">
      <x:c r="A492" s="24" t="n">
        <x:v>491</x:v>
      </x:c>
      <x:c r="B492" s="24" t="str">
        <x:v>TSM4-L-020</x:v>
      </x:c>
      <x:c r="C492" s="24" t="str">
        <x:v>Siswa TSM4 L-020</x:v>
      </x:c>
      <x:c r="D492" s="24" t="str">
        <x:v>TSM / Teknik Sepeda Motor</x:v>
      </x:c>
      <x:c r="E492" s="24" t="str">
        <x:v>TSM 4</x:v>
      </x:c>
      <x:c r="F492" s="24" t="str">
        <x:v>Laki-laki</x:v>
      </x:c>
      <x:c r="G492" s="24" t="str">
        <x:v>Tidak minat</x:v>
      </x:c>
      <x:c r="H492" s="26" t="n">
        <x:f>Probabilitas!$C$4*INDEX(Probabilitas!$C$10:$C$11,MATCH(D492,Probabilitas!$A$10:$A$11,0))*INDEX(Probabilitas!$C$16:$C$22,MATCH(E492,Probabilitas!$A$16:$A$22,0))*INDEX(Probabilitas!$C$27:$C$28,MATCH(F492,Probabilitas!$A$27:$A$28,0))</x:f>
        <x:v>0.0000043025662753556825</x:v>
      </x:c>
      <x:c r="I492" s="26" t="n">
        <x:f>Probabilitas!$C$5*INDEX(Probabilitas!$E$10:$E$11,MATCH(D492,Probabilitas!$A$10:$A$11,0))*INDEX(Probabilitas!$E$16:$E$22,MATCH(E492,Probabilitas!$A$16:$A$22,0))*INDEX(Probabilitas!$E$27:$E$28,MATCH(F492,Probabilitas!$A$27:$A$28,0))</x:f>
        <x:v>0.1384604635276108</x:v>
      </x:c>
      <x:c r="J492" s="26" t="n">
        <x:f>IFERROR(H492/(H492+I492),0)</x:f>
        <x:v>0.00003107336542523984</x:v>
      </x:c>
      <x:c r="K492" s="26" t="n">
        <x:f>IFERROR(I492/(H492+I492),0)</x:f>
        <x:v>0.9999689266345748</x:v>
      </x:c>
      <x:c r="L492" s="24" t="str">
        <x:f>IF(J492&gt;=K492,"Minat","Tidak minat")</x:f>
        <x:v>Tidak minat</x:v>
      </x:c>
      <x:c r="M492" s="24" t="str">
        <x:f>IF(L492=G492,"Sesuai label latih","Berbeda dari label latih")</x:f>
        <x:v>Sesuai label latih</x:v>
      </x:c>
    </x:row>
    <x:row r="493">
      <x:c r="A493" s="24" t="n">
        <x:v>492</x:v>
      </x:c>
      <x:c r="B493" s="24" t="str">
        <x:v>TSM4-L-021</x:v>
      </x:c>
      <x:c r="C493" s="24" t="str">
        <x:v>Siswa TSM4 L-021</x:v>
      </x:c>
      <x:c r="D493" s="24" t="str">
        <x:v>TSM / Teknik Sepeda Motor</x:v>
      </x:c>
      <x:c r="E493" s="24" t="str">
        <x:v>TSM 4</x:v>
      </x:c>
      <x:c r="F493" s="24" t="str">
        <x:v>Laki-laki</x:v>
      </x:c>
      <x:c r="G493" s="24" t="str">
        <x:v>Tidak minat</x:v>
      </x:c>
      <x:c r="H493" s="26" t="n">
        <x:f>Probabilitas!$C$4*INDEX(Probabilitas!$C$10:$C$11,MATCH(D493,Probabilitas!$A$10:$A$11,0))*INDEX(Probabilitas!$C$16:$C$22,MATCH(E493,Probabilitas!$A$16:$A$22,0))*INDEX(Probabilitas!$C$27:$C$28,MATCH(F493,Probabilitas!$A$27:$A$28,0))</x:f>
        <x:v>0.0000043025662753556825</x:v>
      </x:c>
      <x:c r="I493" s="26" t="n">
        <x:f>Probabilitas!$C$5*INDEX(Probabilitas!$E$10:$E$11,MATCH(D493,Probabilitas!$A$10:$A$11,0))*INDEX(Probabilitas!$E$16:$E$22,MATCH(E493,Probabilitas!$A$16:$A$22,0))*INDEX(Probabilitas!$E$27:$E$28,MATCH(F493,Probabilitas!$A$27:$A$28,0))</x:f>
        <x:v>0.1384604635276108</x:v>
      </x:c>
      <x:c r="J493" s="26" t="n">
        <x:f>IFERROR(H493/(H493+I493),0)</x:f>
        <x:v>0.00003107336542523984</x:v>
      </x:c>
      <x:c r="K493" s="26" t="n">
        <x:f>IFERROR(I493/(H493+I493),0)</x:f>
        <x:v>0.9999689266345748</x:v>
      </x:c>
      <x:c r="L493" s="24" t="str">
        <x:f>IF(J493&gt;=K493,"Minat","Tidak minat")</x:f>
        <x:v>Tidak minat</x:v>
      </x:c>
      <x:c r="M493" s="24" t="str">
        <x:f>IF(L493=G493,"Sesuai label latih","Berbeda dari label latih")</x:f>
        <x:v>Sesuai label latih</x:v>
      </x:c>
    </x:row>
    <x:row r="494">
      <x:c r="A494" s="24" t="n">
        <x:v>493</x:v>
      </x:c>
      <x:c r="B494" s="24" t="str">
        <x:v>TSM4-L-022</x:v>
      </x:c>
      <x:c r="C494" s="24" t="str">
        <x:v>Siswa TSM4 L-022</x:v>
      </x:c>
      <x:c r="D494" s="24" t="str">
        <x:v>TSM / Teknik Sepeda Motor</x:v>
      </x:c>
      <x:c r="E494" s="24" t="str">
        <x:v>TSM 4</x:v>
      </x:c>
      <x:c r="F494" s="24" t="str">
        <x:v>Laki-laki</x:v>
      </x:c>
      <x:c r="G494" s="24" t="str">
        <x:v>Tidak minat</x:v>
      </x:c>
      <x:c r="H494" s="26" t="n">
        <x:f>Probabilitas!$C$4*INDEX(Probabilitas!$C$10:$C$11,MATCH(D494,Probabilitas!$A$10:$A$11,0))*INDEX(Probabilitas!$C$16:$C$22,MATCH(E494,Probabilitas!$A$16:$A$22,0))*INDEX(Probabilitas!$C$27:$C$28,MATCH(F494,Probabilitas!$A$27:$A$28,0))</x:f>
        <x:v>0.0000043025662753556825</x:v>
      </x:c>
      <x:c r="I494" s="26" t="n">
        <x:f>Probabilitas!$C$5*INDEX(Probabilitas!$E$10:$E$11,MATCH(D494,Probabilitas!$A$10:$A$11,0))*INDEX(Probabilitas!$E$16:$E$22,MATCH(E494,Probabilitas!$A$16:$A$22,0))*INDEX(Probabilitas!$E$27:$E$28,MATCH(F494,Probabilitas!$A$27:$A$28,0))</x:f>
        <x:v>0.1384604635276108</x:v>
      </x:c>
      <x:c r="J494" s="26" t="n">
        <x:f>IFERROR(H494/(H494+I494),0)</x:f>
        <x:v>0.00003107336542523984</x:v>
      </x:c>
      <x:c r="K494" s="26" t="n">
        <x:f>IFERROR(I494/(H494+I494),0)</x:f>
        <x:v>0.9999689266345748</x:v>
      </x:c>
      <x:c r="L494" s="24" t="str">
        <x:f>IF(J494&gt;=K494,"Minat","Tidak minat")</x:f>
        <x:v>Tidak minat</x:v>
      </x:c>
      <x:c r="M494" s="24" t="str">
        <x:f>IF(L494=G494,"Sesuai label latih","Berbeda dari label latih")</x:f>
        <x:v>Sesuai label latih</x:v>
      </x:c>
    </x:row>
    <x:row r="495">
      <x:c r="A495" s="24" t="n">
        <x:v>494</x:v>
      </x:c>
      <x:c r="B495" s="24" t="str">
        <x:v>TSM4-L-023</x:v>
      </x:c>
      <x:c r="C495" s="24" t="str">
        <x:v>Siswa TSM4 L-023</x:v>
      </x:c>
      <x:c r="D495" s="24" t="str">
        <x:v>TSM / Teknik Sepeda Motor</x:v>
      </x:c>
      <x:c r="E495" s="24" t="str">
        <x:v>TSM 4</x:v>
      </x:c>
      <x:c r="F495" s="24" t="str">
        <x:v>Laki-laki</x:v>
      </x:c>
      <x:c r="G495" s="24" t="str">
        <x:v>Tidak minat</x:v>
      </x:c>
      <x:c r="H495" s="26" t="n">
        <x:f>Probabilitas!$C$4*INDEX(Probabilitas!$C$10:$C$11,MATCH(D495,Probabilitas!$A$10:$A$11,0))*INDEX(Probabilitas!$C$16:$C$22,MATCH(E495,Probabilitas!$A$16:$A$22,0))*INDEX(Probabilitas!$C$27:$C$28,MATCH(F495,Probabilitas!$A$27:$A$28,0))</x:f>
        <x:v>0.0000043025662753556825</x:v>
      </x:c>
      <x:c r="I495" s="26" t="n">
        <x:f>Probabilitas!$C$5*INDEX(Probabilitas!$E$10:$E$11,MATCH(D495,Probabilitas!$A$10:$A$11,0))*INDEX(Probabilitas!$E$16:$E$22,MATCH(E495,Probabilitas!$A$16:$A$22,0))*INDEX(Probabilitas!$E$27:$E$28,MATCH(F495,Probabilitas!$A$27:$A$28,0))</x:f>
        <x:v>0.1384604635276108</x:v>
      </x:c>
      <x:c r="J495" s="26" t="n">
        <x:f>IFERROR(H495/(H495+I495),0)</x:f>
        <x:v>0.00003107336542523984</x:v>
      </x:c>
      <x:c r="K495" s="26" t="n">
        <x:f>IFERROR(I495/(H495+I495),0)</x:f>
        <x:v>0.9999689266345748</x:v>
      </x:c>
      <x:c r="L495" s="24" t="str">
        <x:f>IF(J495&gt;=K495,"Minat","Tidak minat")</x:f>
        <x:v>Tidak minat</x:v>
      </x:c>
      <x:c r="M495" s="24" t="str">
        <x:f>IF(L495=G495,"Sesuai label latih","Berbeda dari label latih")</x:f>
        <x:v>Sesuai label latih</x:v>
      </x:c>
    </x:row>
    <x:row r="496">
      <x:c r="A496" s="24" t="n">
        <x:v>495</x:v>
      </x:c>
      <x:c r="B496" s="24" t="str">
        <x:v>TSM4-L-024</x:v>
      </x:c>
      <x:c r="C496" s="24" t="str">
        <x:v>Siswa TSM4 L-024</x:v>
      </x:c>
      <x:c r="D496" s="24" t="str">
        <x:v>TSM / Teknik Sepeda Motor</x:v>
      </x:c>
      <x:c r="E496" s="24" t="str">
        <x:v>TSM 4</x:v>
      </x:c>
      <x:c r="F496" s="24" t="str">
        <x:v>Laki-laki</x:v>
      </x:c>
      <x:c r="G496" s="24" t="str">
        <x:v>Tidak minat</x:v>
      </x:c>
      <x:c r="H496" s="26" t="n">
        <x:f>Probabilitas!$C$4*INDEX(Probabilitas!$C$10:$C$11,MATCH(D496,Probabilitas!$A$10:$A$11,0))*INDEX(Probabilitas!$C$16:$C$22,MATCH(E496,Probabilitas!$A$16:$A$22,0))*INDEX(Probabilitas!$C$27:$C$28,MATCH(F496,Probabilitas!$A$27:$A$28,0))</x:f>
        <x:v>0.0000043025662753556825</x:v>
      </x:c>
      <x:c r="I496" s="26" t="n">
        <x:f>Probabilitas!$C$5*INDEX(Probabilitas!$E$10:$E$11,MATCH(D496,Probabilitas!$A$10:$A$11,0))*INDEX(Probabilitas!$E$16:$E$22,MATCH(E496,Probabilitas!$A$16:$A$22,0))*INDEX(Probabilitas!$E$27:$E$28,MATCH(F496,Probabilitas!$A$27:$A$28,0))</x:f>
        <x:v>0.1384604635276108</x:v>
      </x:c>
      <x:c r="J496" s="26" t="n">
        <x:f>IFERROR(H496/(H496+I496),0)</x:f>
        <x:v>0.00003107336542523984</x:v>
      </x:c>
      <x:c r="K496" s="26" t="n">
        <x:f>IFERROR(I496/(H496+I496),0)</x:f>
        <x:v>0.9999689266345748</x:v>
      </x:c>
      <x:c r="L496" s="24" t="str">
        <x:f>IF(J496&gt;=K496,"Minat","Tidak minat")</x:f>
        <x:v>Tidak minat</x:v>
      </x:c>
      <x:c r="M496" s="24" t="str">
        <x:f>IF(L496=G496,"Sesuai label latih","Berbeda dari label latih")</x:f>
        <x:v>Sesuai label latih</x:v>
      </x:c>
    </x:row>
    <x:row r="497">
      <x:c r="A497" s="24" t="n">
        <x:v>496</x:v>
      </x:c>
      <x:c r="B497" s="24" t="str">
        <x:v>TSM4-L-025</x:v>
      </x:c>
      <x:c r="C497" s="24" t="str">
        <x:v>Siswa TSM4 L-025</x:v>
      </x:c>
      <x:c r="D497" s="24" t="str">
        <x:v>TSM / Teknik Sepeda Motor</x:v>
      </x:c>
      <x:c r="E497" s="24" t="str">
        <x:v>TSM 4</x:v>
      </x:c>
      <x:c r="F497" s="24" t="str">
        <x:v>Laki-laki</x:v>
      </x:c>
      <x:c r="G497" s="24" t="str">
        <x:v>Tidak minat</x:v>
      </x:c>
      <x:c r="H497" s="26" t="n">
        <x:f>Probabilitas!$C$4*INDEX(Probabilitas!$C$10:$C$11,MATCH(D497,Probabilitas!$A$10:$A$11,0))*INDEX(Probabilitas!$C$16:$C$22,MATCH(E497,Probabilitas!$A$16:$A$22,0))*INDEX(Probabilitas!$C$27:$C$28,MATCH(F497,Probabilitas!$A$27:$A$28,0))</x:f>
        <x:v>0.0000043025662753556825</x:v>
      </x:c>
      <x:c r="I497" s="26" t="n">
        <x:f>Probabilitas!$C$5*INDEX(Probabilitas!$E$10:$E$11,MATCH(D497,Probabilitas!$A$10:$A$11,0))*INDEX(Probabilitas!$E$16:$E$22,MATCH(E497,Probabilitas!$A$16:$A$22,0))*INDEX(Probabilitas!$E$27:$E$28,MATCH(F497,Probabilitas!$A$27:$A$28,0))</x:f>
        <x:v>0.1384604635276108</x:v>
      </x:c>
      <x:c r="J497" s="26" t="n">
        <x:f>IFERROR(H497/(H497+I497),0)</x:f>
        <x:v>0.00003107336542523984</x:v>
      </x:c>
      <x:c r="K497" s="26" t="n">
        <x:f>IFERROR(I497/(H497+I497),0)</x:f>
        <x:v>0.9999689266345748</x:v>
      </x:c>
      <x:c r="L497" s="24" t="str">
        <x:f>IF(J497&gt;=K497,"Minat","Tidak minat")</x:f>
        <x:v>Tidak minat</x:v>
      </x:c>
      <x:c r="M497" s="24" t="str">
        <x:f>IF(L497=G497,"Sesuai label latih","Berbeda dari label latih")</x:f>
        <x:v>Sesuai label latih</x:v>
      </x:c>
    </x:row>
    <x:row r="498">
      <x:c r="A498" s="24" t="n">
        <x:v>497</x:v>
      </x:c>
      <x:c r="B498" s="24" t="str">
        <x:v>TSM4-L-026</x:v>
      </x:c>
      <x:c r="C498" s="24" t="str">
        <x:v>Siswa TSM4 L-026</x:v>
      </x:c>
      <x:c r="D498" s="24" t="str">
        <x:v>TSM / Teknik Sepeda Motor</x:v>
      </x:c>
      <x:c r="E498" s="24" t="str">
        <x:v>TSM 4</x:v>
      </x:c>
      <x:c r="F498" s="24" t="str">
        <x:v>Laki-laki</x:v>
      </x:c>
      <x:c r="G498" s="24" t="str">
        <x:v>Tidak minat</x:v>
      </x:c>
      <x:c r="H498" s="26" t="n">
        <x:f>Probabilitas!$C$4*INDEX(Probabilitas!$C$10:$C$11,MATCH(D498,Probabilitas!$A$10:$A$11,0))*INDEX(Probabilitas!$C$16:$C$22,MATCH(E498,Probabilitas!$A$16:$A$22,0))*INDEX(Probabilitas!$C$27:$C$28,MATCH(F498,Probabilitas!$A$27:$A$28,0))</x:f>
        <x:v>0.0000043025662753556825</x:v>
      </x:c>
      <x:c r="I498" s="26" t="n">
        <x:f>Probabilitas!$C$5*INDEX(Probabilitas!$E$10:$E$11,MATCH(D498,Probabilitas!$A$10:$A$11,0))*INDEX(Probabilitas!$E$16:$E$22,MATCH(E498,Probabilitas!$A$16:$A$22,0))*INDEX(Probabilitas!$E$27:$E$28,MATCH(F498,Probabilitas!$A$27:$A$28,0))</x:f>
        <x:v>0.1384604635276108</x:v>
      </x:c>
      <x:c r="J498" s="26" t="n">
        <x:f>IFERROR(H498/(H498+I498),0)</x:f>
        <x:v>0.00003107336542523984</x:v>
      </x:c>
      <x:c r="K498" s="26" t="n">
        <x:f>IFERROR(I498/(H498+I498),0)</x:f>
        <x:v>0.9999689266345748</x:v>
      </x:c>
      <x:c r="L498" s="24" t="str">
        <x:f>IF(J498&gt;=K498,"Minat","Tidak minat")</x:f>
        <x:v>Tidak minat</x:v>
      </x:c>
      <x:c r="M498" s="24" t="str">
        <x:f>IF(L498=G498,"Sesuai label latih","Berbeda dari label latih")</x:f>
        <x:v>Sesuai label latih</x:v>
      </x:c>
    </x:row>
    <x:row r="499">
      <x:c r="A499" s="24" t="n">
        <x:v>498</x:v>
      </x:c>
      <x:c r="B499" s="24" t="str">
        <x:v>TSM4-L-027</x:v>
      </x:c>
      <x:c r="C499" s="24" t="str">
        <x:v>Siswa TSM4 L-027</x:v>
      </x:c>
      <x:c r="D499" s="24" t="str">
        <x:v>TSM / Teknik Sepeda Motor</x:v>
      </x:c>
      <x:c r="E499" s="24" t="str">
        <x:v>TSM 4</x:v>
      </x:c>
      <x:c r="F499" s="24" t="str">
        <x:v>Laki-laki</x:v>
      </x:c>
      <x:c r="G499" s="24" t="str">
        <x:v>Tidak minat</x:v>
      </x:c>
      <x:c r="H499" s="26" t="n">
        <x:f>Probabilitas!$C$4*INDEX(Probabilitas!$C$10:$C$11,MATCH(D499,Probabilitas!$A$10:$A$11,0))*INDEX(Probabilitas!$C$16:$C$22,MATCH(E499,Probabilitas!$A$16:$A$22,0))*INDEX(Probabilitas!$C$27:$C$28,MATCH(F499,Probabilitas!$A$27:$A$28,0))</x:f>
        <x:v>0.0000043025662753556825</x:v>
      </x:c>
      <x:c r="I499" s="26" t="n">
        <x:f>Probabilitas!$C$5*INDEX(Probabilitas!$E$10:$E$11,MATCH(D499,Probabilitas!$A$10:$A$11,0))*INDEX(Probabilitas!$E$16:$E$22,MATCH(E499,Probabilitas!$A$16:$A$22,0))*INDEX(Probabilitas!$E$27:$E$28,MATCH(F499,Probabilitas!$A$27:$A$28,0))</x:f>
        <x:v>0.1384604635276108</x:v>
      </x:c>
      <x:c r="J499" s="26" t="n">
        <x:f>IFERROR(H499/(H499+I499),0)</x:f>
        <x:v>0.00003107336542523984</x:v>
      </x:c>
      <x:c r="K499" s="26" t="n">
        <x:f>IFERROR(I499/(H499+I499),0)</x:f>
        <x:v>0.9999689266345748</x:v>
      </x:c>
      <x:c r="L499" s="24" t="str">
        <x:f>IF(J499&gt;=K499,"Minat","Tidak minat")</x:f>
        <x:v>Tidak minat</x:v>
      </x:c>
      <x:c r="M499" s="24" t="str">
        <x:f>IF(L499=G499,"Sesuai label latih","Berbeda dari label latih")</x:f>
        <x:v>Sesuai label latih</x:v>
      </x:c>
    </x:row>
    <x:row r="500">
      <x:c r="A500" s="24" t="n">
        <x:v>499</x:v>
      </x:c>
      <x:c r="B500" s="24" t="str">
        <x:v>TSM4-L-028</x:v>
      </x:c>
      <x:c r="C500" s="24" t="str">
        <x:v>Siswa TSM4 L-028</x:v>
      </x:c>
      <x:c r="D500" s="24" t="str">
        <x:v>TSM / Teknik Sepeda Motor</x:v>
      </x:c>
      <x:c r="E500" s="24" t="str">
        <x:v>TSM 4</x:v>
      </x:c>
      <x:c r="F500" s="24" t="str">
        <x:v>Laki-laki</x:v>
      </x:c>
      <x:c r="G500" s="24" t="str">
        <x:v>Tidak minat</x:v>
      </x:c>
      <x:c r="H500" s="26" t="n">
        <x:f>Probabilitas!$C$4*INDEX(Probabilitas!$C$10:$C$11,MATCH(D500,Probabilitas!$A$10:$A$11,0))*INDEX(Probabilitas!$C$16:$C$22,MATCH(E500,Probabilitas!$A$16:$A$22,0))*INDEX(Probabilitas!$C$27:$C$28,MATCH(F500,Probabilitas!$A$27:$A$28,0))</x:f>
        <x:v>0.0000043025662753556825</x:v>
      </x:c>
      <x:c r="I500" s="26" t="n">
        <x:f>Probabilitas!$C$5*INDEX(Probabilitas!$E$10:$E$11,MATCH(D500,Probabilitas!$A$10:$A$11,0))*INDEX(Probabilitas!$E$16:$E$22,MATCH(E500,Probabilitas!$A$16:$A$22,0))*INDEX(Probabilitas!$E$27:$E$28,MATCH(F500,Probabilitas!$A$27:$A$28,0))</x:f>
        <x:v>0.1384604635276108</x:v>
      </x:c>
      <x:c r="J500" s="26" t="n">
        <x:f>IFERROR(H500/(H500+I500),0)</x:f>
        <x:v>0.00003107336542523984</x:v>
      </x:c>
      <x:c r="K500" s="26" t="n">
        <x:f>IFERROR(I500/(H500+I500),0)</x:f>
        <x:v>0.9999689266345748</x:v>
      </x:c>
      <x:c r="L500" s="24" t="str">
        <x:f>IF(J500&gt;=K500,"Minat","Tidak minat")</x:f>
        <x:v>Tidak minat</x:v>
      </x:c>
      <x:c r="M500" s="24" t="str">
        <x:f>IF(L500=G500,"Sesuai label latih","Berbeda dari label latih")</x:f>
        <x:v>Sesuai label latih</x:v>
      </x:c>
    </x:row>
    <x:row r="501">
      <x:c r="A501" s="24" t="n">
        <x:v>500</x:v>
      </x:c>
      <x:c r="B501" s="24" t="str">
        <x:v>TSM4-L-029</x:v>
      </x:c>
      <x:c r="C501" s="24" t="str">
        <x:v>Siswa TSM4 L-029</x:v>
      </x:c>
      <x:c r="D501" s="24" t="str">
        <x:v>TSM / Teknik Sepeda Motor</x:v>
      </x:c>
      <x:c r="E501" s="24" t="str">
        <x:v>TSM 4</x:v>
      </x:c>
      <x:c r="F501" s="24" t="str">
        <x:v>Laki-laki</x:v>
      </x:c>
      <x:c r="G501" s="24" t="str">
        <x:v>Tidak minat</x:v>
      </x:c>
      <x:c r="H501" s="26" t="n">
        <x:f>Probabilitas!$C$4*INDEX(Probabilitas!$C$10:$C$11,MATCH(D501,Probabilitas!$A$10:$A$11,0))*INDEX(Probabilitas!$C$16:$C$22,MATCH(E501,Probabilitas!$A$16:$A$22,0))*INDEX(Probabilitas!$C$27:$C$28,MATCH(F501,Probabilitas!$A$27:$A$28,0))</x:f>
        <x:v>0.0000043025662753556825</x:v>
      </x:c>
      <x:c r="I501" s="26" t="n">
        <x:f>Probabilitas!$C$5*INDEX(Probabilitas!$E$10:$E$11,MATCH(D501,Probabilitas!$A$10:$A$11,0))*INDEX(Probabilitas!$E$16:$E$22,MATCH(E501,Probabilitas!$A$16:$A$22,0))*INDEX(Probabilitas!$E$27:$E$28,MATCH(F501,Probabilitas!$A$27:$A$28,0))</x:f>
        <x:v>0.1384604635276108</x:v>
      </x:c>
      <x:c r="J501" s="26" t="n">
        <x:f>IFERROR(H501/(H501+I501),0)</x:f>
        <x:v>0.00003107336542523984</x:v>
      </x:c>
      <x:c r="K501" s="26" t="n">
        <x:f>IFERROR(I501/(H501+I501),0)</x:f>
        <x:v>0.9999689266345748</x:v>
      </x:c>
      <x:c r="L501" s="24" t="str">
        <x:f>IF(J501&gt;=K501,"Minat","Tidak minat")</x:f>
        <x:v>Tidak minat</x:v>
      </x:c>
      <x:c r="M501" s="24" t="str">
        <x:f>IF(L501=G501,"Sesuai label latih","Berbeda dari label latih")</x:f>
        <x:v>Sesuai label latih</x:v>
      </x:c>
    </x:row>
    <x:row r="502">
      <x:c r="A502" s="24" t="n">
        <x:v>501</x:v>
      </x:c>
      <x:c r="B502" s="24" t="str">
        <x:v>TSM4-L-030</x:v>
      </x:c>
      <x:c r="C502" s="24" t="str">
        <x:v>Siswa TSM4 L-030</x:v>
      </x:c>
      <x:c r="D502" s="24" t="str">
        <x:v>TSM / Teknik Sepeda Motor</x:v>
      </x:c>
      <x:c r="E502" s="24" t="str">
        <x:v>TSM 4</x:v>
      </x:c>
      <x:c r="F502" s="24" t="str">
        <x:v>Laki-laki</x:v>
      </x:c>
      <x:c r="G502" s="24" t="str">
        <x:v>Tidak minat</x:v>
      </x:c>
      <x:c r="H502" s="26" t="n">
        <x:f>Probabilitas!$C$4*INDEX(Probabilitas!$C$10:$C$11,MATCH(D502,Probabilitas!$A$10:$A$11,0))*INDEX(Probabilitas!$C$16:$C$22,MATCH(E502,Probabilitas!$A$16:$A$22,0))*INDEX(Probabilitas!$C$27:$C$28,MATCH(F502,Probabilitas!$A$27:$A$28,0))</x:f>
        <x:v>0.0000043025662753556825</x:v>
      </x:c>
      <x:c r="I502" s="26" t="n">
        <x:f>Probabilitas!$C$5*INDEX(Probabilitas!$E$10:$E$11,MATCH(D502,Probabilitas!$A$10:$A$11,0))*INDEX(Probabilitas!$E$16:$E$22,MATCH(E502,Probabilitas!$A$16:$A$22,0))*INDEX(Probabilitas!$E$27:$E$28,MATCH(F502,Probabilitas!$A$27:$A$28,0))</x:f>
        <x:v>0.1384604635276108</x:v>
      </x:c>
      <x:c r="J502" s="26" t="n">
        <x:f>IFERROR(H502/(H502+I502),0)</x:f>
        <x:v>0.00003107336542523984</x:v>
      </x:c>
      <x:c r="K502" s="26" t="n">
        <x:f>IFERROR(I502/(H502+I502),0)</x:f>
        <x:v>0.9999689266345748</x:v>
      </x:c>
      <x:c r="L502" s="24" t="str">
        <x:f>IF(J502&gt;=K502,"Minat","Tidak minat")</x:f>
        <x:v>Tidak minat</x:v>
      </x:c>
      <x:c r="M502" s="24" t="str">
        <x:f>IF(L502=G502,"Sesuai label latih","Berbeda dari label latih")</x:f>
        <x:v>Sesuai label latih</x:v>
      </x:c>
    </x:row>
    <x:row r="503">
      <x:c r="A503" s="24" t="n">
        <x:v>502</x:v>
      </x:c>
      <x:c r="B503" s="24" t="str">
        <x:v>TSM4-L-031</x:v>
      </x:c>
      <x:c r="C503" s="24" t="str">
        <x:v>Siswa TSM4 L-031</x:v>
      </x:c>
      <x:c r="D503" s="24" t="str">
        <x:v>TSM / Teknik Sepeda Motor</x:v>
      </x:c>
      <x:c r="E503" s="24" t="str">
        <x:v>TSM 4</x:v>
      </x:c>
      <x:c r="F503" s="24" t="str">
        <x:v>Laki-laki</x:v>
      </x:c>
      <x:c r="G503" s="24" t="str">
        <x:v>Tidak minat</x:v>
      </x:c>
      <x:c r="H503" s="26" t="n">
        <x:f>Probabilitas!$C$4*INDEX(Probabilitas!$C$10:$C$11,MATCH(D503,Probabilitas!$A$10:$A$11,0))*INDEX(Probabilitas!$C$16:$C$22,MATCH(E503,Probabilitas!$A$16:$A$22,0))*INDEX(Probabilitas!$C$27:$C$28,MATCH(F503,Probabilitas!$A$27:$A$28,0))</x:f>
        <x:v>0.0000043025662753556825</x:v>
      </x:c>
      <x:c r="I503" s="26" t="n">
        <x:f>Probabilitas!$C$5*INDEX(Probabilitas!$E$10:$E$11,MATCH(D503,Probabilitas!$A$10:$A$11,0))*INDEX(Probabilitas!$E$16:$E$22,MATCH(E503,Probabilitas!$A$16:$A$22,0))*INDEX(Probabilitas!$E$27:$E$28,MATCH(F503,Probabilitas!$A$27:$A$28,0))</x:f>
        <x:v>0.1384604635276108</x:v>
      </x:c>
      <x:c r="J503" s="26" t="n">
        <x:f>IFERROR(H503/(H503+I503),0)</x:f>
        <x:v>0.00003107336542523984</x:v>
      </x:c>
      <x:c r="K503" s="26" t="n">
        <x:f>IFERROR(I503/(H503+I503),0)</x:f>
        <x:v>0.9999689266345748</x:v>
      </x:c>
      <x:c r="L503" s="24" t="str">
        <x:f>IF(J503&gt;=K503,"Minat","Tidak minat")</x:f>
        <x:v>Tidak minat</x:v>
      </x:c>
      <x:c r="M503" s="24" t="str">
        <x:f>IF(L503=G503,"Sesuai label latih","Berbeda dari label latih")</x:f>
        <x:v>Sesuai label latih</x:v>
      </x:c>
    </x:row>
    <x:row r="504">
      <x:c r="A504" s="24" t="n">
        <x:v>503</x:v>
      </x:c>
      <x:c r="B504" s="24" t="str">
        <x:v>TSM4-L-032</x:v>
      </x:c>
      <x:c r="C504" s="24" t="str">
        <x:v>Siswa TSM4 L-032</x:v>
      </x:c>
      <x:c r="D504" s="24" t="str">
        <x:v>TSM / Teknik Sepeda Motor</x:v>
      </x:c>
      <x:c r="E504" s="24" t="str">
        <x:v>TSM 4</x:v>
      </x:c>
      <x:c r="F504" s="24" t="str">
        <x:v>Laki-laki</x:v>
      </x:c>
      <x:c r="G504" s="24" t="str">
        <x:v>Tidak minat</x:v>
      </x:c>
      <x:c r="H504" s="26" t="n">
        <x:f>Probabilitas!$C$4*INDEX(Probabilitas!$C$10:$C$11,MATCH(D504,Probabilitas!$A$10:$A$11,0))*INDEX(Probabilitas!$C$16:$C$22,MATCH(E504,Probabilitas!$A$16:$A$22,0))*INDEX(Probabilitas!$C$27:$C$28,MATCH(F504,Probabilitas!$A$27:$A$28,0))</x:f>
        <x:v>0.0000043025662753556825</x:v>
      </x:c>
      <x:c r="I504" s="26" t="n">
        <x:f>Probabilitas!$C$5*INDEX(Probabilitas!$E$10:$E$11,MATCH(D504,Probabilitas!$A$10:$A$11,0))*INDEX(Probabilitas!$E$16:$E$22,MATCH(E504,Probabilitas!$A$16:$A$22,0))*INDEX(Probabilitas!$E$27:$E$28,MATCH(F504,Probabilitas!$A$27:$A$28,0))</x:f>
        <x:v>0.1384604635276108</x:v>
      </x:c>
      <x:c r="J504" s="26" t="n">
        <x:f>IFERROR(H504/(H504+I504),0)</x:f>
        <x:v>0.00003107336542523984</x:v>
      </x:c>
      <x:c r="K504" s="26" t="n">
        <x:f>IFERROR(I504/(H504+I504),0)</x:f>
        <x:v>0.9999689266345748</x:v>
      </x:c>
      <x:c r="L504" s="24" t="str">
        <x:f>IF(J504&gt;=K504,"Minat","Tidak minat")</x:f>
        <x:v>Tidak minat</x:v>
      </x:c>
      <x:c r="M504" s="24" t="str">
        <x:f>IF(L504=G504,"Sesuai label latih","Berbeda dari label latih")</x:f>
        <x:v>Sesuai label latih</x:v>
      </x:c>
    </x:row>
    <x:row r="505">
      <x:c r="A505" s="24" t="n">
        <x:v>504</x:v>
      </x:c>
      <x:c r="B505" s="24" t="str">
        <x:v>TSM4-L-033</x:v>
      </x:c>
      <x:c r="C505" s="24" t="str">
        <x:v>Siswa TSM4 L-033</x:v>
      </x:c>
      <x:c r="D505" s="24" t="str">
        <x:v>TSM / Teknik Sepeda Motor</x:v>
      </x:c>
      <x:c r="E505" s="24" t="str">
        <x:v>TSM 4</x:v>
      </x:c>
      <x:c r="F505" s="24" t="str">
        <x:v>Laki-laki</x:v>
      </x:c>
      <x:c r="G505" s="24" t="str">
        <x:v>Tidak minat</x:v>
      </x:c>
      <x:c r="H505" s="26" t="n">
        <x:f>Probabilitas!$C$4*INDEX(Probabilitas!$C$10:$C$11,MATCH(D505,Probabilitas!$A$10:$A$11,0))*INDEX(Probabilitas!$C$16:$C$22,MATCH(E505,Probabilitas!$A$16:$A$22,0))*INDEX(Probabilitas!$C$27:$C$28,MATCH(F505,Probabilitas!$A$27:$A$28,0))</x:f>
        <x:v>0.0000043025662753556825</x:v>
      </x:c>
      <x:c r="I505" s="26" t="n">
        <x:f>Probabilitas!$C$5*INDEX(Probabilitas!$E$10:$E$11,MATCH(D505,Probabilitas!$A$10:$A$11,0))*INDEX(Probabilitas!$E$16:$E$22,MATCH(E505,Probabilitas!$A$16:$A$22,0))*INDEX(Probabilitas!$E$27:$E$28,MATCH(F505,Probabilitas!$A$27:$A$28,0))</x:f>
        <x:v>0.1384604635276108</x:v>
      </x:c>
      <x:c r="J505" s="26" t="n">
        <x:f>IFERROR(H505/(H505+I505),0)</x:f>
        <x:v>0.00003107336542523984</x:v>
      </x:c>
      <x:c r="K505" s="26" t="n">
        <x:f>IFERROR(I505/(H505+I505),0)</x:f>
        <x:v>0.9999689266345748</x:v>
      </x:c>
      <x:c r="L505" s="24" t="str">
        <x:f>IF(J505&gt;=K505,"Minat","Tidak minat")</x:f>
        <x:v>Tidak minat</x:v>
      </x:c>
      <x:c r="M505" s="24" t="str">
        <x:f>IF(L505=G505,"Sesuai label latih","Berbeda dari label latih")</x:f>
        <x:v>Sesuai label latih</x:v>
      </x:c>
    </x:row>
    <x:row r="506">
      <x:c r="A506" s="24" t="n">
        <x:v>505</x:v>
      </x:c>
      <x:c r="B506" s="24" t="str">
        <x:v>TSM4-L-034</x:v>
      </x:c>
      <x:c r="C506" s="24" t="str">
        <x:v>Siswa TSM4 L-034</x:v>
      </x:c>
      <x:c r="D506" s="24" t="str">
        <x:v>TSM / Teknik Sepeda Motor</x:v>
      </x:c>
      <x:c r="E506" s="24" t="str">
        <x:v>TSM 4</x:v>
      </x:c>
      <x:c r="F506" s="24" t="str">
        <x:v>Laki-laki</x:v>
      </x:c>
      <x:c r="G506" s="24" t="str">
        <x:v>Tidak minat</x:v>
      </x:c>
      <x:c r="H506" s="26" t="n">
        <x:f>Probabilitas!$C$4*INDEX(Probabilitas!$C$10:$C$11,MATCH(D506,Probabilitas!$A$10:$A$11,0))*INDEX(Probabilitas!$C$16:$C$22,MATCH(E506,Probabilitas!$A$16:$A$22,0))*INDEX(Probabilitas!$C$27:$C$28,MATCH(F506,Probabilitas!$A$27:$A$28,0))</x:f>
        <x:v>0.0000043025662753556825</x:v>
      </x:c>
      <x:c r="I506" s="26" t="n">
        <x:f>Probabilitas!$C$5*INDEX(Probabilitas!$E$10:$E$11,MATCH(D506,Probabilitas!$A$10:$A$11,0))*INDEX(Probabilitas!$E$16:$E$22,MATCH(E506,Probabilitas!$A$16:$A$22,0))*INDEX(Probabilitas!$E$27:$E$28,MATCH(F506,Probabilitas!$A$27:$A$28,0))</x:f>
        <x:v>0.1384604635276108</x:v>
      </x:c>
      <x:c r="J506" s="26" t="n">
        <x:f>IFERROR(H506/(H506+I506),0)</x:f>
        <x:v>0.00003107336542523984</x:v>
      </x:c>
      <x:c r="K506" s="26" t="n">
        <x:f>IFERROR(I506/(H506+I506),0)</x:f>
        <x:v>0.9999689266345748</x:v>
      </x:c>
      <x:c r="L506" s="24" t="str">
        <x:f>IF(J506&gt;=K506,"Minat","Tidak minat")</x:f>
        <x:v>Tidak minat</x:v>
      </x:c>
      <x:c r="M506" s="24" t="str">
        <x:f>IF(L506=G506,"Sesuai label latih","Berbeda dari label latih")</x:f>
        <x:v>Sesuai label latih</x:v>
      </x:c>
    </x:row>
    <x:row r="507">
      <x:c r="A507" s="24" t="n">
        <x:v>506</x:v>
      </x:c>
      <x:c r="B507" s="24" t="str">
        <x:v>TSM4-L-035</x:v>
      </x:c>
      <x:c r="C507" s="24" t="str">
        <x:v>Siswa TSM4 L-035</x:v>
      </x:c>
      <x:c r="D507" s="24" t="str">
        <x:v>TSM / Teknik Sepeda Motor</x:v>
      </x:c>
      <x:c r="E507" s="24" t="str">
        <x:v>TSM 4</x:v>
      </x:c>
      <x:c r="F507" s="24" t="str">
        <x:v>Laki-laki</x:v>
      </x:c>
      <x:c r="G507" s="24" t="str">
        <x:v>Tidak minat</x:v>
      </x:c>
      <x:c r="H507" s="26" t="n">
        <x:f>Probabilitas!$C$4*INDEX(Probabilitas!$C$10:$C$11,MATCH(D507,Probabilitas!$A$10:$A$11,0))*INDEX(Probabilitas!$C$16:$C$22,MATCH(E507,Probabilitas!$A$16:$A$22,0))*INDEX(Probabilitas!$C$27:$C$28,MATCH(F507,Probabilitas!$A$27:$A$28,0))</x:f>
        <x:v>0.0000043025662753556825</x:v>
      </x:c>
      <x:c r="I507" s="26" t="n">
        <x:f>Probabilitas!$C$5*INDEX(Probabilitas!$E$10:$E$11,MATCH(D507,Probabilitas!$A$10:$A$11,0))*INDEX(Probabilitas!$E$16:$E$22,MATCH(E507,Probabilitas!$A$16:$A$22,0))*INDEX(Probabilitas!$E$27:$E$28,MATCH(F507,Probabilitas!$A$27:$A$28,0))</x:f>
        <x:v>0.1384604635276108</x:v>
      </x:c>
      <x:c r="J507" s="26" t="n">
        <x:f>IFERROR(H507/(H507+I507),0)</x:f>
        <x:v>0.00003107336542523984</x:v>
      </x:c>
      <x:c r="K507" s="26" t="n">
        <x:f>IFERROR(I507/(H507+I507),0)</x:f>
        <x:v>0.9999689266345748</x:v>
      </x:c>
      <x:c r="L507" s="24" t="str">
        <x:f>IF(J507&gt;=K507,"Minat","Tidak minat")</x:f>
        <x:v>Tidak minat</x:v>
      </x:c>
      <x:c r="M507" s="24" t="str">
        <x:f>IF(L507=G507,"Sesuai label latih","Berbeda dari label latih")</x:f>
        <x:v>Sesuai label latih</x:v>
      </x:c>
    </x:row>
    <x:row r="508">
      <x:c r="A508" s="24" t="n">
        <x:v>507</x:v>
      </x:c>
      <x:c r="B508" s="24" t="str">
        <x:v>TSM4-L-036</x:v>
      </x:c>
      <x:c r="C508" s="24" t="str">
        <x:v>Siswa TSM4 L-036</x:v>
      </x:c>
      <x:c r="D508" s="24" t="str">
        <x:v>TSM / Teknik Sepeda Motor</x:v>
      </x:c>
      <x:c r="E508" s="24" t="str">
        <x:v>TSM 4</x:v>
      </x:c>
      <x:c r="F508" s="24" t="str">
        <x:v>Laki-laki</x:v>
      </x:c>
      <x:c r="G508" s="24" t="str">
        <x:v>Tidak minat</x:v>
      </x:c>
      <x:c r="H508" s="26" t="n">
        <x:f>Probabilitas!$C$4*INDEX(Probabilitas!$C$10:$C$11,MATCH(D508,Probabilitas!$A$10:$A$11,0))*INDEX(Probabilitas!$C$16:$C$22,MATCH(E508,Probabilitas!$A$16:$A$22,0))*INDEX(Probabilitas!$C$27:$C$28,MATCH(F508,Probabilitas!$A$27:$A$28,0))</x:f>
        <x:v>0.0000043025662753556825</x:v>
      </x:c>
      <x:c r="I508" s="26" t="n">
        <x:f>Probabilitas!$C$5*INDEX(Probabilitas!$E$10:$E$11,MATCH(D508,Probabilitas!$A$10:$A$11,0))*INDEX(Probabilitas!$E$16:$E$22,MATCH(E508,Probabilitas!$A$16:$A$22,0))*INDEX(Probabilitas!$E$27:$E$28,MATCH(F508,Probabilitas!$A$27:$A$28,0))</x:f>
        <x:v>0.1384604635276108</x:v>
      </x:c>
      <x:c r="J508" s="26" t="n">
        <x:f>IFERROR(H508/(H508+I508),0)</x:f>
        <x:v>0.00003107336542523984</x:v>
      </x:c>
      <x:c r="K508" s="26" t="n">
        <x:f>IFERROR(I508/(H508+I508),0)</x:f>
        <x:v>0.9999689266345748</x:v>
      </x:c>
      <x:c r="L508" s="24" t="str">
        <x:f>IF(J508&gt;=K508,"Minat","Tidak minat")</x:f>
        <x:v>Tidak minat</x:v>
      </x:c>
      <x:c r="M508" s="24" t="str">
        <x:f>IF(L508=G508,"Sesuai label latih","Berbeda dari label latih")</x:f>
        <x:v>Sesuai label latih</x:v>
      </x:c>
    </x:row>
    <x:row r="509">
      <x:c r="A509" s="24" t="n">
        <x:v>508</x:v>
      </x:c>
      <x:c r="B509" s="24" t="str">
        <x:v>TSM4-L-037</x:v>
      </x:c>
      <x:c r="C509" s="24" t="str">
        <x:v>Siswa TSM4 L-037</x:v>
      </x:c>
      <x:c r="D509" s="24" t="str">
        <x:v>TSM / Teknik Sepeda Motor</x:v>
      </x:c>
      <x:c r="E509" s="24" t="str">
        <x:v>TSM 4</x:v>
      </x:c>
      <x:c r="F509" s="24" t="str">
        <x:v>Laki-laki</x:v>
      </x:c>
      <x:c r="G509" s="24" t="str">
        <x:v>Tidak minat</x:v>
      </x:c>
      <x:c r="H509" s="26" t="n">
        <x:f>Probabilitas!$C$4*INDEX(Probabilitas!$C$10:$C$11,MATCH(D509,Probabilitas!$A$10:$A$11,0))*INDEX(Probabilitas!$C$16:$C$22,MATCH(E509,Probabilitas!$A$16:$A$22,0))*INDEX(Probabilitas!$C$27:$C$28,MATCH(F509,Probabilitas!$A$27:$A$28,0))</x:f>
        <x:v>0.0000043025662753556825</x:v>
      </x:c>
      <x:c r="I509" s="26" t="n">
        <x:f>Probabilitas!$C$5*INDEX(Probabilitas!$E$10:$E$11,MATCH(D509,Probabilitas!$A$10:$A$11,0))*INDEX(Probabilitas!$E$16:$E$22,MATCH(E509,Probabilitas!$A$16:$A$22,0))*INDEX(Probabilitas!$E$27:$E$28,MATCH(F509,Probabilitas!$A$27:$A$28,0))</x:f>
        <x:v>0.1384604635276108</x:v>
      </x:c>
      <x:c r="J509" s="26" t="n">
        <x:f>IFERROR(H509/(H509+I509),0)</x:f>
        <x:v>0.00003107336542523984</x:v>
      </x:c>
      <x:c r="K509" s="26" t="n">
        <x:f>IFERROR(I509/(H509+I509),0)</x:f>
        <x:v>0.9999689266345748</x:v>
      </x:c>
      <x:c r="L509" s="24" t="str">
        <x:f>IF(J509&gt;=K509,"Minat","Tidak minat")</x:f>
        <x:v>Tidak minat</x:v>
      </x:c>
      <x:c r="M509" s="24" t="str">
        <x:f>IF(L509=G509,"Sesuai label latih","Berbeda dari label latih")</x:f>
        <x:v>Sesuai label latih</x:v>
      </x:c>
    </x:row>
    <x:row r="510">
      <x:c r="A510" s="24" t="n">
        <x:v>509</x:v>
      </x:c>
      <x:c r="B510" s="24" t="str">
        <x:v>TSM4-L-038</x:v>
      </x:c>
      <x:c r="C510" s="24" t="str">
        <x:v>Siswa TSM4 L-038</x:v>
      </x:c>
      <x:c r="D510" s="24" t="str">
        <x:v>TSM / Teknik Sepeda Motor</x:v>
      </x:c>
      <x:c r="E510" s="24" t="str">
        <x:v>TSM 4</x:v>
      </x:c>
      <x:c r="F510" s="24" t="str">
        <x:v>Laki-laki</x:v>
      </x:c>
      <x:c r="G510" s="24" t="str">
        <x:v>Tidak minat</x:v>
      </x:c>
      <x:c r="H510" s="26" t="n">
        <x:f>Probabilitas!$C$4*INDEX(Probabilitas!$C$10:$C$11,MATCH(D510,Probabilitas!$A$10:$A$11,0))*INDEX(Probabilitas!$C$16:$C$22,MATCH(E510,Probabilitas!$A$16:$A$22,0))*INDEX(Probabilitas!$C$27:$C$28,MATCH(F510,Probabilitas!$A$27:$A$28,0))</x:f>
        <x:v>0.0000043025662753556825</x:v>
      </x:c>
      <x:c r="I510" s="26" t="n">
        <x:f>Probabilitas!$C$5*INDEX(Probabilitas!$E$10:$E$11,MATCH(D510,Probabilitas!$A$10:$A$11,0))*INDEX(Probabilitas!$E$16:$E$22,MATCH(E510,Probabilitas!$A$16:$A$22,0))*INDEX(Probabilitas!$E$27:$E$28,MATCH(F510,Probabilitas!$A$27:$A$28,0))</x:f>
        <x:v>0.1384604635276108</x:v>
      </x:c>
      <x:c r="J510" s="26" t="n">
        <x:f>IFERROR(H510/(H510+I510),0)</x:f>
        <x:v>0.00003107336542523984</x:v>
      </x:c>
      <x:c r="K510" s="26" t="n">
        <x:f>IFERROR(I510/(H510+I510),0)</x:f>
        <x:v>0.9999689266345748</x:v>
      </x:c>
      <x:c r="L510" s="24" t="str">
        <x:f>IF(J510&gt;=K510,"Minat","Tidak minat")</x:f>
        <x:v>Tidak minat</x:v>
      </x:c>
      <x:c r="M510" s="24" t="str">
        <x:f>IF(L510=G510,"Sesuai label latih","Berbeda dari label latih")</x:f>
        <x:v>Sesuai label latih</x:v>
      </x:c>
    </x:row>
    <x:row r="511">
      <x:c r="A511" s="24" t="n">
        <x:v>510</x:v>
      </x:c>
      <x:c r="B511" s="24" t="str">
        <x:v>TSM4-L-039</x:v>
      </x:c>
      <x:c r="C511" s="24" t="str">
        <x:v>Siswa TSM4 L-039</x:v>
      </x:c>
      <x:c r="D511" s="24" t="str">
        <x:v>TSM / Teknik Sepeda Motor</x:v>
      </x:c>
      <x:c r="E511" s="24" t="str">
        <x:v>TSM 4</x:v>
      </x:c>
      <x:c r="F511" s="24" t="str">
        <x:v>Laki-laki</x:v>
      </x:c>
      <x:c r="G511" s="24" t="str">
        <x:v>Tidak minat</x:v>
      </x:c>
      <x:c r="H511" s="26" t="n">
        <x:f>Probabilitas!$C$4*INDEX(Probabilitas!$C$10:$C$11,MATCH(D511,Probabilitas!$A$10:$A$11,0))*INDEX(Probabilitas!$C$16:$C$22,MATCH(E511,Probabilitas!$A$16:$A$22,0))*INDEX(Probabilitas!$C$27:$C$28,MATCH(F511,Probabilitas!$A$27:$A$28,0))</x:f>
        <x:v>0.0000043025662753556825</x:v>
      </x:c>
      <x:c r="I511" s="26" t="n">
        <x:f>Probabilitas!$C$5*INDEX(Probabilitas!$E$10:$E$11,MATCH(D511,Probabilitas!$A$10:$A$11,0))*INDEX(Probabilitas!$E$16:$E$22,MATCH(E511,Probabilitas!$A$16:$A$22,0))*INDEX(Probabilitas!$E$27:$E$28,MATCH(F511,Probabilitas!$A$27:$A$28,0))</x:f>
        <x:v>0.1384604635276108</x:v>
      </x:c>
      <x:c r="J511" s="26" t="n">
        <x:f>IFERROR(H511/(H511+I511),0)</x:f>
        <x:v>0.00003107336542523984</x:v>
      </x:c>
      <x:c r="K511" s="26" t="n">
        <x:f>IFERROR(I511/(H511+I511),0)</x:f>
        <x:v>0.9999689266345748</x:v>
      </x:c>
      <x:c r="L511" s="24" t="str">
        <x:f>IF(J511&gt;=K511,"Minat","Tidak minat")</x:f>
        <x:v>Tidak minat</x:v>
      </x:c>
      <x:c r="M511" s="24" t="str">
        <x:f>IF(L511=G511,"Sesuai label latih","Berbeda dari label latih")</x:f>
        <x:v>Sesuai label latih</x:v>
      </x:c>
    </x:row>
    <x:row r="512">
      <x:c r="A512" s="24" t="n">
        <x:v>511</x:v>
      </x:c>
      <x:c r="B512" s="24" t="str">
        <x:v>TSM4-L-040</x:v>
      </x:c>
      <x:c r="C512" s="24" t="str">
        <x:v>Siswa TSM4 L-040</x:v>
      </x:c>
      <x:c r="D512" s="24" t="str">
        <x:v>TSM / Teknik Sepeda Motor</x:v>
      </x:c>
      <x:c r="E512" s="24" t="str">
        <x:v>TSM 4</x:v>
      </x:c>
      <x:c r="F512" s="24" t="str">
        <x:v>Laki-laki</x:v>
      </x:c>
      <x:c r="G512" s="24" t="str">
        <x:v>Tidak minat</x:v>
      </x:c>
      <x:c r="H512" s="26" t="n">
        <x:f>Probabilitas!$C$4*INDEX(Probabilitas!$C$10:$C$11,MATCH(D512,Probabilitas!$A$10:$A$11,0))*INDEX(Probabilitas!$C$16:$C$22,MATCH(E512,Probabilitas!$A$16:$A$22,0))*INDEX(Probabilitas!$C$27:$C$28,MATCH(F512,Probabilitas!$A$27:$A$28,0))</x:f>
        <x:v>0.0000043025662753556825</x:v>
      </x:c>
      <x:c r="I512" s="26" t="n">
        <x:f>Probabilitas!$C$5*INDEX(Probabilitas!$E$10:$E$11,MATCH(D512,Probabilitas!$A$10:$A$11,0))*INDEX(Probabilitas!$E$16:$E$22,MATCH(E512,Probabilitas!$A$16:$A$22,0))*INDEX(Probabilitas!$E$27:$E$28,MATCH(F512,Probabilitas!$A$27:$A$28,0))</x:f>
        <x:v>0.1384604635276108</x:v>
      </x:c>
      <x:c r="J512" s="26" t="n">
        <x:f>IFERROR(H512/(H512+I512),0)</x:f>
        <x:v>0.00003107336542523984</x:v>
      </x:c>
      <x:c r="K512" s="26" t="n">
        <x:f>IFERROR(I512/(H512+I512),0)</x:f>
        <x:v>0.9999689266345748</x:v>
      </x:c>
      <x:c r="L512" s="24" t="str">
        <x:f>IF(J512&gt;=K512,"Minat","Tidak minat")</x:f>
        <x:v>Tidak minat</x:v>
      </x:c>
      <x:c r="M512" s="24" t="str">
        <x:f>IF(L512=G512,"Sesuai label latih","Berbeda dari label latih")</x:f>
        <x:v>Sesuai label latih</x:v>
      </x:c>
    </x:row>
    <x:row r="513">
      <x:c r="A513" s="24" t="n">
        <x:v>512</x:v>
      </x:c>
      <x:c r="B513" s="24" t="str">
        <x:v>TSM4-L-041</x:v>
      </x:c>
      <x:c r="C513" s="24" t="str">
        <x:v>Siswa TSM4 L-041</x:v>
      </x:c>
      <x:c r="D513" s="24" t="str">
        <x:v>TSM / Teknik Sepeda Motor</x:v>
      </x:c>
      <x:c r="E513" s="24" t="str">
        <x:v>TSM 4</x:v>
      </x:c>
      <x:c r="F513" s="24" t="str">
        <x:v>Laki-laki</x:v>
      </x:c>
      <x:c r="G513" s="24" t="str">
        <x:v>Tidak minat</x:v>
      </x:c>
      <x:c r="H513" s="26" t="n">
        <x:f>Probabilitas!$C$4*INDEX(Probabilitas!$C$10:$C$11,MATCH(D513,Probabilitas!$A$10:$A$11,0))*INDEX(Probabilitas!$C$16:$C$22,MATCH(E513,Probabilitas!$A$16:$A$22,0))*INDEX(Probabilitas!$C$27:$C$28,MATCH(F513,Probabilitas!$A$27:$A$28,0))</x:f>
        <x:v>0.0000043025662753556825</x:v>
      </x:c>
      <x:c r="I513" s="26" t="n">
        <x:f>Probabilitas!$C$5*INDEX(Probabilitas!$E$10:$E$11,MATCH(D513,Probabilitas!$A$10:$A$11,0))*INDEX(Probabilitas!$E$16:$E$22,MATCH(E513,Probabilitas!$A$16:$A$22,0))*INDEX(Probabilitas!$E$27:$E$28,MATCH(F513,Probabilitas!$A$27:$A$28,0))</x:f>
        <x:v>0.1384604635276108</x:v>
      </x:c>
      <x:c r="J513" s="26" t="n">
        <x:f>IFERROR(H513/(H513+I513),0)</x:f>
        <x:v>0.00003107336542523984</x:v>
      </x:c>
      <x:c r="K513" s="26" t="n">
        <x:f>IFERROR(I513/(H513+I513),0)</x:f>
        <x:v>0.9999689266345748</x:v>
      </x:c>
      <x:c r="L513" s="24" t="str">
        <x:f>IF(J513&gt;=K513,"Minat","Tidak minat")</x:f>
        <x:v>Tidak minat</x:v>
      </x:c>
      <x:c r="M513" s="24" t="str">
        <x:f>IF(L513=G513,"Sesuai label latih","Berbeda dari label latih")</x:f>
        <x:v>Sesuai label latih</x:v>
      </x:c>
    </x:row>
    <x:row r="514">
      <x:c r="A514" s="24" t="n">
        <x:v>513</x:v>
      </x:c>
      <x:c r="B514" s="24" t="str">
        <x:v>TSM4-L-042</x:v>
      </x:c>
      <x:c r="C514" s="24" t="str">
        <x:v>Siswa TSM4 L-042</x:v>
      </x:c>
      <x:c r="D514" s="24" t="str">
        <x:v>TSM / Teknik Sepeda Motor</x:v>
      </x:c>
      <x:c r="E514" s="24" t="str">
        <x:v>TSM 4</x:v>
      </x:c>
      <x:c r="F514" s="24" t="str">
        <x:v>Laki-laki</x:v>
      </x:c>
      <x:c r="G514" s="24" t="str">
        <x:v>Tidak minat</x:v>
      </x:c>
      <x:c r="H514" s="26" t="n">
        <x:f>Probabilitas!$C$4*INDEX(Probabilitas!$C$10:$C$11,MATCH(D514,Probabilitas!$A$10:$A$11,0))*INDEX(Probabilitas!$C$16:$C$22,MATCH(E514,Probabilitas!$A$16:$A$22,0))*INDEX(Probabilitas!$C$27:$C$28,MATCH(F514,Probabilitas!$A$27:$A$28,0))</x:f>
        <x:v>0.0000043025662753556825</x:v>
      </x:c>
      <x:c r="I514" s="26" t="n">
        <x:f>Probabilitas!$C$5*INDEX(Probabilitas!$E$10:$E$11,MATCH(D514,Probabilitas!$A$10:$A$11,0))*INDEX(Probabilitas!$E$16:$E$22,MATCH(E514,Probabilitas!$A$16:$A$22,0))*INDEX(Probabilitas!$E$27:$E$28,MATCH(F514,Probabilitas!$A$27:$A$28,0))</x:f>
        <x:v>0.1384604635276108</x:v>
      </x:c>
      <x:c r="J514" s="26" t="n">
        <x:f>IFERROR(H514/(H514+I514),0)</x:f>
        <x:v>0.00003107336542523984</x:v>
      </x:c>
      <x:c r="K514" s="26" t="n">
        <x:f>IFERROR(I514/(H514+I514),0)</x:f>
        <x:v>0.9999689266345748</x:v>
      </x:c>
      <x:c r="L514" s="24" t="str">
        <x:f>IF(J514&gt;=K514,"Minat","Tidak minat")</x:f>
        <x:v>Tidak minat</x:v>
      </x:c>
      <x:c r="M514" s="24" t="str">
        <x:f>IF(L514=G514,"Sesuai label latih","Berbeda dari label latih")</x:f>
        <x:v>Sesuai label latih</x:v>
      </x:c>
    </x:row>
    <x:row r="515">
      <x:c r="A515" s="24" t="n">
        <x:v>514</x:v>
      </x:c>
      <x:c r="B515" s="24" t="str">
        <x:v>TSM4-L-043</x:v>
      </x:c>
      <x:c r="C515" s="24" t="str">
        <x:v>Siswa TSM4 L-043</x:v>
      </x:c>
      <x:c r="D515" s="24" t="str">
        <x:v>TSM / Teknik Sepeda Motor</x:v>
      </x:c>
      <x:c r="E515" s="24" t="str">
        <x:v>TSM 4</x:v>
      </x:c>
      <x:c r="F515" s="24" t="str">
        <x:v>Laki-laki</x:v>
      </x:c>
      <x:c r="G515" s="24" t="str">
        <x:v>Tidak minat</x:v>
      </x:c>
      <x:c r="H515" s="26" t="n">
        <x:f>Probabilitas!$C$4*INDEX(Probabilitas!$C$10:$C$11,MATCH(D515,Probabilitas!$A$10:$A$11,0))*INDEX(Probabilitas!$C$16:$C$22,MATCH(E515,Probabilitas!$A$16:$A$22,0))*INDEX(Probabilitas!$C$27:$C$28,MATCH(F515,Probabilitas!$A$27:$A$28,0))</x:f>
        <x:v>0.0000043025662753556825</x:v>
      </x:c>
      <x:c r="I515" s="26" t="n">
        <x:f>Probabilitas!$C$5*INDEX(Probabilitas!$E$10:$E$11,MATCH(D515,Probabilitas!$A$10:$A$11,0))*INDEX(Probabilitas!$E$16:$E$22,MATCH(E515,Probabilitas!$A$16:$A$22,0))*INDEX(Probabilitas!$E$27:$E$28,MATCH(F515,Probabilitas!$A$27:$A$28,0))</x:f>
        <x:v>0.1384604635276108</x:v>
      </x:c>
      <x:c r="J515" s="26" t="n">
        <x:f>IFERROR(H515/(H515+I515),0)</x:f>
        <x:v>0.00003107336542523984</x:v>
      </x:c>
      <x:c r="K515" s="26" t="n">
        <x:f>IFERROR(I515/(H515+I515),0)</x:f>
        <x:v>0.9999689266345748</x:v>
      </x:c>
      <x:c r="L515" s="24" t="str">
        <x:f>IF(J515&gt;=K515,"Minat","Tidak minat")</x:f>
        <x:v>Tidak minat</x:v>
      </x:c>
      <x:c r="M515" s="24" t="str">
        <x:f>IF(L515=G515,"Sesuai label latih","Berbeda dari label latih")</x:f>
        <x:v>Sesuai label latih</x:v>
      </x:c>
    </x:row>
    <x:row r="516">
      <x:c r="A516" s="24" t="n">
        <x:v>515</x:v>
      </x:c>
      <x:c r="B516" s="24" t="str">
        <x:v>TSM4-L-044</x:v>
      </x:c>
      <x:c r="C516" s="24" t="str">
        <x:v>Siswa TSM4 L-044</x:v>
      </x:c>
      <x:c r="D516" s="24" t="str">
        <x:v>TSM / Teknik Sepeda Motor</x:v>
      </x:c>
      <x:c r="E516" s="24" t="str">
        <x:v>TSM 4</x:v>
      </x:c>
      <x:c r="F516" s="24" t="str">
        <x:v>Laki-laki</x:v>
      </x:c>
      <x:c r="G516" s="24" t="str">
        <x:v>Tidak minat</x:v>
      </x:c>
      <x:c r="H516" s="26" t="n">
        <x:f>Probabilitas!$C$4*INDEX(Probabilitas!$C$10:$C$11,MATCH(D516,Probabilitas!$A$10:$A$11,0))*INDEX(Probabilitas!$C$16:$C$22,MATCH(E516,Probabilitas!$A$16:$A$22,0))*INDEX(Probabilitas!$C$27:$C$28,MATCH(F516,Probabilitas!$A$27:$A$28,0))</x:f>
        <x:v>0.0000043025662753556825</x:v>
      </x:c>
      <x:c r="I516" s="26" t="n">
        <x:f>Probabilitas!$C$5*INDEX(Probabilitas!$E$10:$E$11,MATCH(D516,Probabilitas!$A$10:$A$11,0))*INDEX(Probabilitas!$E$16:$E$22,MATCH(E516,Probabilitas!$A$16:$A$22,0))*INDEX(Probabilitas!$E$27:$E$28,MATCH(F516,Probabilitas!$A$27:$A$28,0))</x:f>
        <x:v>0.1384604635276108</x:v>
      </x:c>
      <x:c r="J516" s="26" t="n">
        <x:f>IFERROR(H516/(H516+I516),0)</x:f>
        <x:v>0.00003107336542523984</x:v>
      </x:c>
      <x:c r="K516" s="26" t="n">
        <x:f>IFERROR(I516/(H516+I516),0)</x:f>
        <x:v>0.9999689266345748</x:v>
      </x:c>
      <x:c r="L516" s="24" t="str">
        <x:f>IF(J516&gt;=K516,"Minat","Tidak minat")</x:f>
        <x:v>Tidak minat</x:v>
      </x:c>
      <x:c r="M516" s="24" t="str">
        <x:f>IF(L516=G516,"Sesuai label latih","Berbeda dari label latih")</x:f>
        <x:v>Sesuai label latih</x:v>
      </x:c>
    </x:row>
    <x:row r="517">
      <x:c r="A517" s="24" t="n">
        <x:v>516</x:v>
      </x:c>
      <x:c r="B517" s="24" t="str">
        <x:v>TSM4-L-045</x:v>
      </x:c>
      <x:c r="C517" s="24" t="str">
        <x:v>Siswa TSM4 L-045</x:v>
      </x:c>
      <x:c r="D517" s="24" t="str">
        <x:v>TSM / Teknik Sepeda Motor</x:v>
      </x:c>
      <x:c r="E517" s="24" t="str">
        <x:v>TSM 4</x:v>
      </x:c>
      <x:c r="F517" s="24" t="str">
        <x:v>Laki-laki</x:v>
      </x:c>
      <x:c r="G517" s="24" t="str">
        <x:v>Tidak minat</x:v>
      </x:c>
      <x:c r="H517" s="26" t="n">
        <x:f>Probabilitas!$C$4*INDEX(Probabilitas!$C$10:$C$11,MATCH(D517,Probabilitas!$A$10:$A$11,0))*INDEX(Probabilitas!$C$16:$C$22,MATCH(E517,Probabilitas!$A$16:$A$22,0))*INDEX(Probabilitas!$C$27:$C$28,MATCH(F517,Probabilitas!$A$27:$A$28,0))</x:f>
        <x:v>0.0000043025662753556825</x:v>
      </x:c>
      <x:c r="I517" s="26" t="n">
        <x:f>Probabilitas!$C$5*INDEX(Probabilitas!$E$10:$E$11,MATCH(D517,Probabilitas!$A$10:$A$11,0))*INDEX(Probabilitas!$E$16:$E$22,MATCH(E517,Probabilitas!$A$16:$A$22,0))*INDEX(Probabilitas!$E$27:$E$28,MATCH(F517,Probabilitas!$A$27:$A$28,0))</x:f>
        <x:v>0.1384604635276108</x:v>
      </x:c>
      <x:c r="J517" s="26" t="n">
        <x:f>IFERROR(H517/(H517+I517),0)</x:f>
        <x:v>0.00003107336542523984</x:v>
      </x:c>
      <x:c r="K517" s="26" t="n">
        <x:f>IFERROR(I517/(H517+I517),0)</x:f>
        <x:v>0.9999689266345748</x:v>
      </x:c>
      <x:c r="L517" s="24" t="str">
        <x:f>IF(J517&gt;=K517,"Minat","Tidak minat")</x:f>
        <x:v>Tidak minat</x:v>
      </x:c>
      <x:c r="M517" s="24" t="str">
        <x:f>IF(L517=G517,"Sesuai label latih","Berbeda dari label latih")</x:f>
        <x:v>Sesuai label latih</x:v>
      </x:c>
    </x:row>
    <x:row r="518">
      <x:c r="A518" s="24" t="n">
        <x:v>517</x:v>
      </x:c>
      <x:c r="B518" s="24" t="str">
        <x:v>TSM4-L-046</x:v>
      </x:c>
      <x:c r="C518" s="24" t="str">
        <x:v>Siswa TSM4 L-046</x:v>
      </x:c>
      <x:c r="D518" s="24" t="str">
        <x:v>TSM / Teknik Sepeda Motor</x:v>
      </x:c>
      <x:c r="E518" s="24" t="str">
        <x:v>TSM 4</x:v>
      </x:c>
      <x:c r="F518" s="24" t="str">
        <x:v>Laki-laki</x:v>
      </x:c>
      <x:c r="G518" s="24" t="str">
        <x:v>Tidak minat</x:v>
      </x:c>
      <x:c r="H518" s="26" t="n">
        <x:f>Probabilitas!$C$4*INDEX(Probabilitas!$C$10:$C$11,MATCH(D518,Probabilitas!$A$10:$A$11,0))*INDEX(Probabilitas!$C$16:$C$22,MATCH(E518,Probabilitas!$A$16:$A$22,0))*INDEX(Probabilitas!$C$27:$C$28,MATCH(F518,Probabilitas!$A$27:$A$28,0))</x:f>
        <x:v>0.0000043025662753556825</x:v>
      </x:c>
      <x:c r="I518" s="26" t="n">
        <x:f>Probabilitas!$C$5*INDEX(Probabilitas!$E$10:$E$11,MATCH(D518,Probabilitas!$A$10:$A$11,0))*INDEX(Probabilitas!$E$16:$E$22,MATCH(E518,Probabilitas!$A$16:$A$22,0))*INDEX(Probabilitas!$E$27:$E$28,MATCH(F518,Probabilitas!$A$27:$A$28,0))</x:f>
        <x:v>0.1384604635276108</x:v>
      </x:c>
      <x:c r="J518" s="26" t="n">
        <x:f>IFERROR(H518/(H518+I518),0)</x:f>
        <x:v>0.00003107336542523984</x:v>
      </x:c>
      <x:c r="K518" s="26" t="n">
        <x:f>IFERROR(I518/(H518+I518),0)</x:f>
        <x:v>0.9999689266345748</x:v>
      </x:c>
      <x:c r="L518" s="24" t="str">
        <x:f>IF(J518&gt;=K518,"Minat","Tidak minat")</x:f>
        <x:v>Tidak minat</x:v>
      </x:c>
      <x:c r="M518" s="24" t="str">
        <x:f>IF(L518=G518,"Sesuai label latih","Berbeda dari label latih")</x:f>
        <x:v>Sesuai label latih</x:v>
      </x:c>
    </x:row>
    <x:row r="519">
      <x:c r="A519" s="24" t="n">
        <x:v>518</x:v>
      </x:c>
      <x:c r="B519" s="24" t="str">
        <x:v>TSM4-L-047</x:v>
      </x:c>
      <x:c r="C519" s="24" t="str">
        <x:v>Siswa TSM4 L-047</x:v>
      </x:c>
      <x:c r="D519" s="24" t="str">
        <x:v>TSM / Teknik Sepeda Motor</x:v>
      </x:c>
      <x:c r="E519" s="24" t="str">
        <x:v>TSM 4</x:v>
      </x:c>
      <x:c r="F519" s="24" t="str">
        <x:v>Laki-laki</x:v>
      </x:c>
      <x:c r="G519" s="24" t="str">
        <x:v>Tidak minat</x:v>
      </x:c>
      <x:c r="H519" s="26" t="n">
        <x:f>Probabilitas!$C$4*INDEX(Probabilitas!$C$10:$C$11,MATCH(D519,Probabilitas!$A$10:$A$11,0))*INDEX(Probabilitas!$C$16:$C$22,MATCH(E519,Probabilitas!$A$16:$A$22,0))*INDEX(Probabilitas!$C$27:$C$28,MATCH(F519,Probabilitas!$A$27:$A$28,0))</x:f>
        <x:v>0.0000043025662753556825</x:v>
      </x:c>
      <x:c r="I519" s="26" t="n">
        <x:f>Probabilitas!$C$5*INDEX(Probabilitas!$E$10:$E$11,MATCH(D519,Probabilitas!$A$10:$A$11,0))*INDEX(Probabilitas!$E$16:$E$22,MATCH(E519,Probabilitas!$A$16:$A$22,0))*INDEX(Probabilitas!$E$27:$E$28,MATCH(F519,Probabilitas!$A$27:$A$28,0))</x:f>
        <x:v>0.1384604635276108</x:v>
      </x:c>
      <x:c r="J519" s="26" t="n">
        <x:f>IFERROR(H519/(H519+I519),0)</x:f>
        <x:v>0.00003107336542523984</x:v>
      </x:c>
      <x:c r="K519" s="26" t="n">
        <x:f>IFERROR(I519/(H519+I519),0)</x:f>
        <x:v>0.9999689266345748</x:v>
      </x:c>
      <x:c r="L519" s="24" t="str">
        <x:f>IF(J519&gt;=K519,"Minat","Tidak minat")</x:f>
        <x:v>Tidak minat</x:v>
      </x:c>
      <x:c r="M519" s="24" t="str">
        <x:f>IF(L519=G519,"Sesuai label latih","Berbeda dari label latih")</x:f>
        <x:v>Sesuai label latih</x:v>
      </x:c>
    </x:row>
    <x:row r="520">
      <x:c r="A520" s="24" t="n">
        <x:v>519</x:v>
      </x:c>
      <x:c r="B520" s="24" t="str">
        <x:v>TSM4-L-048</x:v>
      </x:c>
      <x:c r="C520" s="24" t="str">
        <x:v>Siswa TSM4 L-048</x:v>
      </x:c>
      <x:c r="D520" s="24" t="str">
        <x:v>TSM / Teknik Sepeda Motor</x:v>
      </x:c>
      <x:c r="E520" s="24" t="str">
        <x:v>TSM 4</x:v>
      </x:c>
      <x:c r="F520" s="24" t="str">
        <x:v>Laki-laki</x:v>
      </x:c>
      <x:c r="G520" s="24" t="str">
        <x:v>Tidak minat</x:v>
      </x:c>
      <x:c r="H520" s="26" t="n">
        <x:f>Probabilitas!$C$4*INDEX(Probabilitas!$C$10:$C$11,MATCH(D520,Probabilitas!$A$10:$A$11,0))*INDEX(Probabilitas!$C$16:$C$22,MATCH(E520,Probabilitas!$A$16:$A$22,0))*INDEX(Probabilitas!$C$27:$C$28,MATCH(F520,Probabilitas!$A$27:$A$28,0))</x:f>
        <x:v>0.0000043025662753556825</x:v>
      </x:c>
      <x:c r="I520" s="26" t="n">
        <x:f>Probabilitas!$C$5*INDEX(Probabilitas!$E$10:$E$11,MATCH(D520,Probabilitas!$A$10:$A$11,0))*INDEX(Probabilitas!$E$16:$E$22,MATCH(E520,Probabilitas!$A$16:$A$22,0))*INDEX(Probabilitas!$E$27:$E$28,MATCH(F520,Probabilitas!$A$27:$A$28,0))</x:f>
        <x:v>0.1384604635276108</x:v>
      </x:c>
      <x:c r="J520" s="26" t="n">
        <x:f>IFERROR(H520/(H520+I520),0)</x:f>
        <x:v>0.00003107336542523984</x:v>
      </x:c>
      <x:c r="K520" s="26" t="n">
        <x:f>IFERROR(I520/(H520+I520),0)</x:f>
        <x:v>0.9999689266345748</x:v>
      </x:c>
      <x:c r="L520" s="24" t="str">
        <x:f>IF(J520&gt;=K520,"Minat","Tidak minat")</x:f>
        <x:v>Tidak minat</x:v>
      </x:c>
      <x:c r="M520" s="24" t="str">
        <x:f>IF(L520=G520,"Sesuai label latih","Berbeda dari label latih")</x:f>
        <x:v>Sesuai label latih</x:v>
      </x:c>
    </x:row>
    <x:row r="521">
      <x:c r="A521" s="24" t="n">
        <x:v>520</x:v>
      </x:c>
      <x:c r="B521" s="24" t="str">
        <x:v>TSM4-L-049</x:v>
      </x:c>
      <x:c r="C521" s="24" t="str">
        <x:v>Siswa TSM4 L-049</x:v>
      </x:c>
      <x:c r="D521" s="24" t="str">
        <x:v>TSM / Teknik Sepeda Motor</x:v>
      </x:c>
      <x:c r="E521" s="24" t="str">
        <x:v>TSM 4</x:v>
      </x:c>
      <x:c r="F521" s="24" t="str">
        <x:v>Laki-laki</x:v>
      </x:c>
      <x:c r="G521" s="24" t="str">
        <x:v>Tidak minat</x:v>
      </x:c>
      <x:c r="H521" s="26" t="n">
        <x:f>Probabilitas!$C$4*INDEX(Probabilitas!$C$10:$C$11,MATCH(D521,Probabilitas!$A$10:$A$11,0))*INDEX(Probabilitas!$C$16:$C$22,MATCH(E521,Probabilitas!$A$16:$A$22,0))*INDEX(Probabilitas!$C$27:$C$28,MATCH(F521,Probabilitas!$A$27:$A$28,0))</x:f>
        <x:v>0.0000043025662753556825</x:v>
      </x:c>
      <x:c r="I521" s="26" t="n">
        <x:f>Probabilitas!$C$5*INDEX(Probabilitas!$E$10:$E$11,MATCH(D521,Probabilitas!$A$10:$A$11,0))*INDEX(Probabilitas!$E$16:$E$22,MATCH(E521,Probabilitas!$A$16:$A$22,0))*INDEX(Probabilitas!$E$27:$E$28,MATCH(F521,Probabilitas!$A$27:$A$28,0))</x:f>
        <x:v>0.1384604635276108</x:v>
      </x:c>
      <x:c r="J521" s="26" t="n">
        <x:f>IFERROR(H521/(H521+I521),0)</x:f>
        <x:v>0.00003107336542523984</x:v>
      </x:c>
      <x:c r="K521" s="26" t="n">
        <x:f>IFERROR(I521/(H521+I521),0)</x:f>
        <x:v>0.9999689266345748</x:v>
      </x:c>
      <x:c r="L521" s="24" t="str">
        <x:f>IF(J521&gt;=K521,"Minat","Tidak minat")</x:f>
        <x:v>Tidak minat</x:v>
      </x:c>
      <x:c r="M521" s="24" t="str">
        <x:f>IF(L521=G521,"Sesuai label latih","Berbeda dari label latih")</x:f>
        <x:v>Sesuai label latih</x:v>
      </x:c>
    </x:row>
    <x:row r="522">
      <x:c r="A522" s="24" t="n">
        <x:v>521</x:v>
      </x:c>
      <x:c r="B522" s="24" t="str">
        <x:v>TSM4-L-050</x:v>
      </x:c>
      <x:c r="C522" s="24" t="str">
        <x:v>Siswa TSM4 L-050</x:v>
      </x:c>
      <x:c r="D522" s="24" t="str">
        <x:v>TSM / Teknik Sepeda Motor</x:v>
      </x:c>
      <x:c r="E522" s="24" t="str">
        <x:v>TSM 4</x:v>
      </x:c>
      <x:c r="F522" s="24" t="str">
        <x:v>Laki-laki</x:v>
      </x:c>
      <x:c r="G522" s="24" t="str">
        <x:v>Tidak minat</x:v>
      </x:c>
      <x:c r="H522" s="26" t="n">
        <x:f>Probabilitas!$C$4*INDEX(Probabilitas!$C$10:$C$11,MATCH(D522,Probabilitas!$A$10:$A$11,0))*INDEX(Probabilitas!$C$16:$C$22,MATCH(E522,Probabilitas!$A$16:$A$22,0))*INDEX(Probabilitas!$C$27:$C$28,MATCH(F522,Probabilitas!$A$27:$A$28,0))</x:f>
        <x:v>0.0000043025662753556825</x:v>
      </x:c>
      <x:c r="I522" s="26" t="n">
        <x:f>Probabilitas!$C$5*INDEX(Probabilitas!$E$10:$E$11,MATCH(D522,Probabilitas!$A$10:$A$11,0))*INDEX(Probabilitas!$E$16:$E$22,MATCH(E522,Probabilitas!$A$16:$A$22,0))*INDEX(Probabilitas!$E$27:$E$28,MATCH(F522,Probabilitas!$A$27:$A$28,0))</x:f>
        <x:v>0.1384604635276108</x:v>
      </x:c>
      <x:c r="J522" s="26" t="n">
        <x:f>IFERROR(H522/(H522+I522),0)</x:f>
        <x:v>0.00003107336542523984</x:v>
      </x:c>
      <x:c r="K522" s="26" t="n">
        <x:f>IFERROR(I522/(H522+I522),0)</x:f>
        <x:v>0.9999689266345748</x:v>
      </x:c>
      <x:c r="L522" s="24" t="str">
        <x:f>IF(J522&gt;=K522,"Minat","Tidak minat")</x:f>
        <x:v>Tidak minat</x:v>
      </x:c>
      <x:c r="M522" s="24" t="str">
        <x:f>IF(L522=G522,"Sesuai label latih","Berbeda dari label latih")</x:f>
        <x:v>Sesuai label latih</x:v>
      </x:c>
    </x:row>
    <x:row r="523">
      <x:c r="A523" s="24" t="n">
        <x:v>522</x:v>
      </x:c>
      <x:c r="B523" s="24" t="str">
        <x:v>TSM4-L-051</x:v>
      </x:c>
      <x:c r="C523" s="24" t="str">
        <x:v>Siswa TSM4 L-051</x:v>
      </x:c>
      <x:c r="D523" s="24" t="str">
        <x:v>TSM / Teknik Sepeda Motor</x:v>
      </x:c>
      <x:c r="E523" s="24" t="str">
        <x:v>TSM 4</x:v>
      </x:c>
      <x:c r="F523" s="24" t="str">
        <x:v>Laki-laki</x:v>
      </x:c>
      <x:c r="G523" s="24" t="str">
        <x:v>Tidak minat</x:v>
      </x:c>
      <x:c r="H523" s="26" t="n">
        <x:f>Probabilitas!$C$4*INDEX(Probabilitas!$C$10:$C$11,MATCH(D523,Probabilitas!$A$10:$A$11,0))*INDEX(Probabilitas!$C$16:$C$22,MATCH(E523,Probabilitas!$A$16:$A$22,0))*INDEX(Probabilitas!$C$27:$C$28,MATCH(F523,Probabilitas!$A$27:$A$28,0))</x:f>
        <x:v>0.0000043025662753556825</x:v>
      </x:c>
      <x:c r="I523" s="26" t="n">
        <x:f>Probabilitas!$C$5*INDEX(Probabilitas!$E$10:$E$11,MATCH(D523,Probabilitas!$A$10:$A$11,0))*INDEX(Probabilitas!$E$16:$E$22,MATCH(E523,Probabilitas!$A$16:$A$22,0))*INDEX(Probabilitas!$E$27:$E$28,MATCH(F523,Probabilitas!$A$27:$A$28,0))</x:f>
        <x:v>0.1384604635276108</x:v>
      </x:c>
      <x:c r="J523" s="26" t="n">
        <x:f>IFERROR(H523/(H523+I523),0)</x:f>
        <x:v>0.00003107336542523984</x:v>
      </x:c>
      <x:c r="K523" s="26" t="n">
        <x:f>IFERROR(I523/(H523+I523),0)</x:f>
        <x:v>0.9999689266345748</x:v>
      </x:c>
      <x:c r="L523" s="24" t="str">
        <x:f>IF(J523&gt;=K523,"Minat","Tidak minat")</x:f>
        <x:v>Tidak minat</x:v>
      </x:c>
      <x:c r="M523" s="24" t="str">
        <x:f>IF(L523=G523,"Sesuai label latih","Berbeda dari label latih")</x:f>
        <x:v>Sesuai label latih</x:v>
      </x:c>
    </x:row>
    <x:row r="524">
      <x:c r="A524" s="24" t="n">
        <x:v>523</x:v>
      </x:c>
      <x:c r="B524" s="24" t="str">
        <x:v>TSM4-L-052</x:v>
      </x:c>
      <x:c r="C524" s="24" t="str">
        <x:v>Siswa TSM4 L-052</x:v>
      </x:c>
      <x:c r="D524" s="24" t="str">
        <x:v>TSM / Teknik Sepeda Motor</x:v>
      </x:c>
      <x:c r="E524" s="24" t="str">
        <x:v>TSM 4</x:v>
      </x:c>
      <x:c r="F524" s="24" t="str">
        <x:v>Laki-laki</x:v>
      </x:c>
      <x:c r="G524" s="24" t="str">
        <x:v>Tidak minat</x:v>
      </x:c>
      <x:c r="H524" s="26" t="n">
        <x:f>Probabilitas!$C$4*INDEX(Probabilitas!$C$10:$C$11,MATCH(D524,Probabilitas!$A$10:$A$11,0))*INDEX(Probabilitas!$C$16:$C$22,MATCH(E524,Probabilitas!$A$16:$A$22,0))*INDEX(Probabilitas!$C$27:$C$28,MATCH(F524,Probabilitas!$A$27:$A$28,0))</x:f>
        <x:v>0.0000043025662753556825</x:v>
      </x:c>
      <x:c r="I524" s="26" t="n">
        <x:f>Probabilitas!$C$5*INDEX(Probabilitas!$E$10:$E$11,MATCH(D524,Probabilitas!$A$10:$A$11,0))*INDEX(Probabilitas!$E$16:$E$22,MATCH(E524,Probabilitas!$A$16:$A$22,0))*INDEX(Probabilitas!$E$27:$E$28,MATCH(F524,Probabilitas!$A$27:$A$28,0))</x:f>
        <x:v>0.1384604635276108</x:v>
      </x:c>
      <x:c r="J524" s="26" t="n">
        <x:f>IFERROR(H524/(H524+I524),0)</x:f>
        <x:v>0.00003107336542523984</x:v>
      </x:c>
      <x:c r="K524" s="26" t="n">
        <x:f>IFERROR(I524/(H524+I524),0)</x:f>
        <x:v>0.9999689266345748</x:v>
      </x:c>
      <x:c r="L524" s="24" t="str">
        <x:f>IF(J524&gt;=K524,"Minat","Tidak minat")</x:f>
        <x:v>Tidak minat</x:v>
      </x:c>
      <x:c r="M524" s="24" t="str">
        <x:f>IF(L524=G524,"Sesuai label latih","Berbeda dari label latih")</x:f>
        <x:v>Sesuai label latih</x:v>
      </x:c>
    </x:row>
    <x:row r="525">
      <x:c r="A525" s="24" t="n">
        <x:v>524</x:v>
      </x:c>
      <x:c r="B525" s="24" t="str">
        <x:v>TSM4-L-053</x:v>
      </x:c>
      <x:c r="C525" s="24" t="str">
        <x:v>Siswa TSM4 L-053</x:v>
      </x:c>
      <x:c r="D525" s="24" t="str">
        <x:v>TSM / Teknik Sepeda Motor</x:v>
      </x:c>
      <x:c r="E525" s="24" t="str">
        <x:v>TSM 4</x:v>
      </x:c>
      <x:c r="F525" s="24" t="str">
        <x:v>Laki-laki</x:v>
      </x:c>
      <x:c r="G525" s="24" t="str">
        <x:v>Tidak minat</x:v>
      </x:c>
      <x:c r="H525" s="26" t="n">
        <x:f>Probabilitas!$C$4*INDEX(Probabilitas!$C$10:$C$11,MATCH(D525,Probabilitas!$A$10:$A$11,0))*INDEX(Probabilitas!$C$16:$C$22,MATCH(E525,Probabilitas!$A$16:$A$22,0))*INDEX(Probabilitas!$C$27:$C$28,MATCH(F525,Probabilitas!$A$27:$A$28,0))</x:f>
        <x:v>0.0000043025662753556825</x:v>
      </x:c>
      <x:c r="I525" s="26" t="n">
        <x:f>Probabilitas!$C$5*INDEX(Probabilitas!$E$10:$E$11,MATCH(D525,Probabilitas!$A$10:$A$11,0))*INDEX(Probabilitas!$E$16:$E$22,MATCH(E525,Probabilitas!$A$16:$A$22,0))*INDEX(Probabilitas!$E$27:$E$28,MATCH(F525,Probabilitas!$A$27:$A$28,0))</x:f>
        <x:v>0.1384604635276108</x:v>
      </x:c>
      <x:c r="J525" s="26" t="n">
        <x:f>IFERROR(H525/(H525+I525),0)</x:f>
        <x:v>0.00003107336542523984</x:v>
      </x:c>
      <x:c r="K525" s="26" t="n">
        <x:f>IFERROR(I525/(H525+I525),0)</x:f>
        <x:v>0.9999689266345748</x:v>
      </x:c>
      <x:c r="L525" s="24" t="str">
        <x:f>IF(J525&gt;=K525,"Minat","Tidak minat")</x:f>
        <x:v>Tidak minat</x:v>
      </x:c>
      <x:c r="M525" s="24" t="str">
        <x:f>IF(L525=G525,"Sesuai label latih","Berbeda dari label latih")</x:f>
        <x:v>Sesuai label latih</x:v>
      </x:c>
    </x:row>
    <x:row r="526">
      <x:c r="A526" s="24" t="n">
        <x:v>525</x:v>
      </x:c>
      <x:c r="B526" s="24" t="str">
        <x:v>TSM4-L-054</x:v>
      </x:c>
      <x:c r="C526" s="24" t="str">
        <x:v>Siswa TSM4 L-054</x:v>
      </x:c>
      <x:c r="D526" s="24" t="str">
        <x:v>TSM / Teknik Sepeda Motor</x:v>
      </x:c>
      <x:c r="E526" s="24" t="str">
        <x:v>TSM 4</x:v>
      </x:c>
      <x:c r="F526" s="24" t="str">
        <x:v>Laki-laki</x:v>
      </x:c>
      <x:c r="G526" s="24" t="str">
        <x:v>Tidak minat</x:v>
      </x:c>
      <x:c r="H526" s="26" t="n">
        <x:f>Probabilitas!$C$4*INDEX(Probabilitas!$C$10:$C$11,MATCH(D526,Probabilitas!$A$10:$A$11,0))*INDEX(Probabilitas!$C$16:$C$22,MATCH(E526,Probabilitas!$A$16:$A$22,0))*INDEX(Probabilitas!$C$27:$C$28,MATCH(F526,Probabilitas!$A$27:$A$28,0))</x:f>
        <x:v>0.0000043025662753556825</x:v>
      </x:c>
      <x:c r="I526" s="26" t="n">
        <x:f>Probabilitas!$C$5*INDEX(Probabilitas!$E$10:$E$11,MATCH(D526,Probabilitas!$A$10:$A$11,0))*INDEX(Probabilitas!$E$16:$E$22,MATCH(E526,Probabilitas!$A$16:$A$22,0))*INDEX(Probabilitas!$E$27:$E$28,MATCH(F526,Probabilitas!$A$27:$A$28,0))</x:f>
        <x:v>0.1384604635276108</x:v>
      </x:c>
      <x:c r="J526" s="26" t="n">
        <x:f>IFERROR(H526/(H526+I526),0)</x:f>
        <x:v>0.00003107336542523984</x:v>
      </x:c>
      <x:c r="K526" s="26" t="n">
        <x:f>IFERROR(I526/(H526+I526),0)</x:f>
        <x:v>0.9999689266345748</x:v>
      </x:c>
      <x:c r="L526" s="24" t="str">
        <x:f>IF(J526&gt;=K526,"Minat","Tidak minat")</x:f>
        <x:v>Tidak minat</x:v>
      </x:c>
      <x:c r="M526" s="24" t="str">
        <x:f>IF(L526=G526,"Sesuai label latih","Berbeda dari label latih")</x:f>
        <x:v>Sesuai label latih</x:v>
      </x:c>
    </x:row>
    <x:row r="527">
      <x:c r="A527" s="24" t="n">
        <x:v>526</x:v>
      </x:c>
      <x:c r="B527" s="24" t="str">
        <x:v>TSM4-L-055</x:v>
      </x:c>
      <x:c r="C527" s="24" t="str">
        <x:v>Siswa TSM4 L-055</x:v>
      </x:c>
      <x:c r="D527" s="24" t="str">
        <x:v>TSM / Teknik Sepeda Motor</x:v>
      </x:c>
      <x:c r="E527" s="24" t="str">
        <x:v>TSM 4</x:v>
      </x:c>
      <x:c r="F527" s="24" t="str">
        <x:v>Laki-laki</x:v>
      </x:c>
      <x:c r="G527" s="24" t="str">
        <x:v>Tidak minat</x:v>
      </x:c>
      <x:c r="H527" s="26" t="n">
        <x:f>Probabilitas!$C$4*INDEX(Probabilitas!$C$10:$C$11,MATCH(D527,Probabilitas!$A$10:$A$11,0))*INDEX(Probabilitas!$C$16:$C$22,MATCH(E527,Probabilitas!$A$16:$A$22,0))*INDEX(Probabilitas!$C$27:$C$28,MATCH(F527,Probabilitas!$A$27:$A$28,0))</x:f>
        <x:v>0.0000043025662753556825</x:v>
      </x:c>
      <x:c r="I527" s="26" t="n">
        <x:f>Probabilitas!$C$5*INDEX(Probabilitas!$E$10:$E$11,MATCH(D527,Probabilitas!$A$10:$A$11,0))*INDEX(Probabilitas!$E$16:$E$22,MATCH(E527,Probabilitas!$A$16:$A$22,0))*INDEX(Probabilitas!$E$27:$E$28,MATCH(F527,Probabilitas!$A$27:$A$28,0))</x:f>
        <x:v>0.1384604635276108</x:v>
      </x:c>
      <x:c r="J527" s="26" t="n">
        <x:f>IFERROR(H527/(H527+I527),0)</x:f>
        <x:v>0.00003107336542523984</x:v>
      </x:c>
      <x:c r="K527" s="26" t="n">
        <x:f>IFERROR(I527/(H527+I527),0)</x:f>
        <x:v>0.9999689266345748</x:v>
      </x:c>
      <x:c r="L527" s="24" t="str">
        <x:f>IF(J527&gt;=K527,"Minat","Tidak minat")</x:f>
        <x:v>Tidak minat</x:v>
      </x:c>
      <x:c r="M527" s="24" t="str">
        <x:f>IF(L527=G527,"Sesuai label latih","Berbeda dari label latih")</x:f>
        <x:v>Sesuai label latih</x:v>
      </x:c>
    </x:row>
    <x:row r="528">
      <x:c r="A528" s="24" t="n">
        <x:v>527</x:v>
      </x:c>
      <x:c r="B528" s="24" t="str">
        <x:v>TSM4-L-056</x:v>
      </x:c>
      <x:c r="C528" s="24" t="str">
        <x:v>Siswa TSM4 L-056</x:v>
      </x:c>
      <x:c r="D528" s="24" t="str">
        <x:v>TSM / Teknik Sepeda Motor</x:v>
      </x:c>
      <x:c r="E528" s="24" t="str">
        <x:v>TSM 4</x:v>
      </x:c>
      <x:c r="F528" s="24" t="str">
        <x:v>Laki-laki</x:v>
      </x:c>
      <x:c r="G528" s="24" t="str">
        <x:v>Tidak minat</x:v>
      </x:c>
      <x:c r="H528" s="26" t="n">
        <x:f>Probabilitas!$C$4*INDEX(Probabilitas!$C$10:$C$11,MATCH(D528,Probabilitas!$A$10:$A$11,0))*INDEX(Probabilitas!$C$16:$C$22,MATCH(E528,Probabilitas!$A$16:$A$22,0))*INDEX(Probabilitas!$C$27:$C$28,MATCH(F528,Probabilitas!$A$27:$A$28,0))</x:f>
        <x:v>0.0000043025662753556825</x:v>
      </x:c>
      <x:c r="I528" s="26" t="n">
        <x:f>Probabilitas!$C$5*INDEX(Probabilitas!$E$10:$E$11,MATCH(D528,Probabilitas!$A$10:$A$11,0))*INDEX(Probabilitas!$E$16:$E$22,MATCH(E528,Probabilitas!$A$16:$A$22,0))*INDEX(Probabilitas!$E$27:$E$28,MATCH(F528,Probabilitas!$A$27:$A$28,0))</x:f>
        <x:v>0.1384604635276108</x:v>
      </x:c>
      <x:c r="J528" s="26" t="n">
        <x:f>IFERROR(H528/(H528+I528),0)</x:f>
        <x:v>0.00003107336542523984</x:v>
      </x:c>
      <x:c r="K528" s="26" t="n">
        <x:f>IFERROR(I528/(H528+I528),0)</x:f>
        <x:v>0.9999689266345748</x:v>
      </x:c>
      <x:c r="L528" s="24" t="str">
        <x:f>IF(J528&gt;=K528,"Minat","Tidak minat")</x:f>
        <x:v>Tidak minat</x:v>
      </x:c>
      <x:c r="M528" s="24" t="str">
        <x:f>IF(L528=G528,"Sesuai label latih","Berbeda dari label latih")</x:f>
        <x:v>Sesuai label latih</x:v>
      </x:c>
    </x:row>
    <x:row r="529">
      <x:c r="A529" s="24" t="n">
        <x:v>528</x:v>
      </x:c>
      <x:c r="B529" s="24" t="str">
        <x:v>TSM4-L-057</x:v>
      </x:c>
      <x:c r="C529" s="24" t="str">
        <x:v>Siswa TSM4 L-057</x:v>
      </x:c>
      <x:c r="D529" s="24" t="str">
        <x:v>TSM / Teknik Sepeda Motor</x:v>
      </x:c>
      <x:c r="E529" s="24" t="str">
        <x:v>TSM 4</x:v>
      </x:c>
      <x:c r="F529" s="24" t="str">
        <x:v>Laki-laki</x:v>
      </x:c>
      <x:c r="G529" s="24" t="str">
        <x:v>Tidak minat</x:v>
      </x:c>
      <x:c r="H529" s="26" t="n">
        <x:f>Probabilitas!$C$4*INDEX(Probabilitas!$C$10:$C$11,MATCH(D529,Probabilitas!$A$10:$A$11,0))*INDEX(Probabilitas!$C$16:$C$22,MATCH(E529,Probabilitas!$A$16:$A$22,0))*INDEX(Probabilitas!$C$27:$C$28,MATCH(F529,Probabilitas!$A$27:$A$28,0))</x:f>
        <x:v>0.0000043025662753556825</x:v>
      </x:c>
      <x:c r="I529" s="26" t="n">
        <x:f>Probabilitas!$C$5*INDEX(Probabilitas!$E$10:$E$11,MATCH(D529,Probabilitas!$A$10:$A$11,0))*INDEX(Probabilitas!$E$16:$E$22,MATCH(E529,Probabilitas!$A$16:$A$22,0))*INDEX(Probabilitas!$E$27:$E$28,MATCH(F529,Probabilitas!$A$27:$A$28,0))</x:f>
        <x:v>0.1384604635276108</x:v>
      </x:c>
      <x:c r="J529" s="26" t="n">
        <x:f>IFERROR(H529/(H529+I529),0)</x:f>
        <x:v>0.00003107336542523984</x:v>
      </x:c>
      <x:c r="K529" s="26" t="n">
        <x:f>IFERROR(I529/(H529+I529),0)</x:f>
        <x:v>0.9999689266345748</x:v>
      </x:c>
      <x:c r="L529" s="24" t="str">
        <x:f>IF(J529&gt;=K529,"Minat","Tidak minat")</x:f>
        <x:v>Tidak minat</x:v>
      </x:c>
      <x:c r="M529" s="24" t="str">
        <x:f>IF(L529=G529,"Sesuai label latih","Berbeda dari label latih")</x:f>
        <x:v>Sesuai label latih</x:v>
      </x:c>
    </x:row>
    <x:row r="530">
      <x:c r="A530" s="24" t="n">
        <x:v>529</x:v>
      </x:c>
      <x:c r="B530" s="24" t="str">
        <x:v>TSM4-L-058</x:v>
      </x:c>
      <x:c r="C530" s="24" t="str">
        <x:v>Siswa TSM4 L-058</x:v>
      </x:c>
      <x:c r="D530" s="24" t="str">
        <x:v>TSM / Teknik Sepeda Motor</x:v>
      </x:c>
      <x:c r="E530" s="24" t="str">
        <x:v>TSM 4</x:v>
      </x:c>
      <x:c r="F530" s="24" t="str">
        <x:v>Laki-laki</x:v>
      </x:c>
      <x:c r="G530" s="24" t="str">
        <x:v>Tidak minat</x:v>
      </x:c>
      <x:c r="H530" s="26" t="n">
        <x:f>Probabilitas!$C$4*INDEX(Probabilitas!$C$10:$C$11,MATCH(D530,Probabilitas!$A$10:$A$11,0))*INDEX(Probabilitas!$C$16:$C$22,MATCH(E530,Probabilitas!$A$16:$A$22,0))*INDEX(Probabilitas!$C$27:$C$28,MATCH(F530,Probabilitas!$A$27:$A$28,0))</x:f>
        <x:v>0.0000043025662753556825</x:v>
      </x:c>
      <x:c r="I530" s="26" t="n">
        <x:f>Probabilitas!$C$5*INDEX(Probabilitas!$E$10:$E$11,MATCH(D530,Probabilitas!$A$10:$A$11,0))*INDEX(Probabilitas!$E$16:$E$22,MATCH(E530,Probabilitas!$A$16:$A$22,0))*INDEX(Probabilitas!$E$27:$E$28,MATCH(F530,Probabilitas!$A$27:$A$28,0))</x:f>
        <x:v>0.1384604635276108</x:v>
      </x:c>
      <x:c r="J530" s="26" t="n">
        <x:f>IFERROR(H530/(H530+I530),0)</x:f>
        <x:v>0.00003107336542523984</x:v>
      </x:c>
      <x:c r="K530" s="26" t="n">
        <x:f>IFERROR(I530/(H530+I530),0)</x:f>
        <x:v>0.9999689266345748</x:v>
      </x:c>
      <x:c r="L530" s="24" t="str">
        <x:f>IF(J530&gt;=K530,"Minat","Tidak minat")</x:f>
        <x:v>Tidak minat</x:v>
      </x:c>
      <x:c r="M530" s="24" t="str">
        <x:f>IF(L530=G530,"Sesuai label latih","Berbeda dari label latih")</x:f>
        <x:v>Sesuai label latih</x:v>
      </x:c>
    </x:row>
    <x:row r="531">
      <x:c r="A531" s="24" t="n">
        <x:v>530</x:v>
      </x:c>
      <x:c r="B531" s="24" t="str">
        <x:v>TSM4-L-059</x:v>
      </x:c>
      <x:c r="C531" s="24" t="str">
        <x:v>Siswa TSM4 L-059</x:v>
      </x:c>
      <x:c r="D531" s="24" t="str">
        <x:v>TSM / Teknik Sepeda Motor</x:v>
      </x:c>
      <x:c r="E531" s="24" t="str">
        <x:v>TSM 4</x:v>
      </x:c>
      <x:c r="F531" s="24" t="str">
        <x:v>Laki-laki</x:v>
      </x:c>
      <x:c r="G531" s="24" t="str">
        <x:v>Tidak minat</x:v>
      </x:c>
      <x:c r="H531" s="26" t="n">
        <x:f>Probabilitas!$C$4*INDEX(Probabilitas!$C$10:$C$11,MATCH(D531,Probabilitas!$A$10:$A$11,0))*INDEX(Probabilitas!$C$16:$C$22,MATCH(E531,Probabilitas!$A$16:$A$22,0))*INDEX(Probabilitas!$C$27:$C$28,MATCH(F531,Probabilitas!$A$27:$A$28,0))</x:f>
        <x:v>0.0000043025662753556825</x:v>
      </x:c>
      <x:c r="I531" s="26" t="n">
        <x:f>Probabilitas!$C$5*INDEX(Probabilitas!$E$10:$E$11,MATCH(D531,Probabilitas!$A$10:$A$11,0))*INDEX(Probabilitas!$E$16:$E$22,MATCH(E531,Probabilitas!$A$16:$A$22,0))*INDEX(Probabilitas!$E$27:$E$28,MATCH(F531,Probabilitas!$A$27:$A$28,0))</x:f>
        <x:v>0.1384604635276108</x:v>
      </x:c>
      <x:c r="J531" s="26" t="n">
        <x:f>IFERROR(H531/(H531+I531),0)</x:f>
        <x:v>0.00003107336542523984</x:v>
      </x:c>
      <x:c r="K531" s="26" t="n">
        <x:f>IFERROR(I531/(H531+I531),0)</x:f>
        <x:v>0.9999689266345748</x:v>
      </x:c>
      <x:c r="L531" s="24" t="str">
        <x:f>IF(J531&gt;=K531,"Minat","Tidak minat")</x:f>
        <x:v>Tidak minat</x:v>
      </x:c>
      <x:c r="M531" s="24" t="str">
        <x:f>IF(L531=G531,"Sesuai label latih","Berbeda dari label latih")</x:f>
        <x:v>Sesuai label latih</x:v>
      </x:c>
    </x:row>
    <x:row r="532">
      <x:c r="A532" s="24" t="n">
        <x:v>531</x:v>
      </x:c>
      <x:c r="B532" s="24" t="str">
        <x:v>TSM4-L-060</x:v>
      </x:c>
      <x:c r="C532" s="24" t="str">
        <x:v>Siswa TSM4 L-060</x:v>
      </x:c>
      <x:c r="D532" s="24" t="str">
        <x:v>TSM / Teknik Sepeda Motor</x:v>
      </x:c>
      <x:c r="E532" s="24" t="str">
        <x:v>TSM 4</x:v>
      </x:c>
      <x:c r="F532" s="24" t="str">
        <x:v>Laki-laki</x:v>
      </x:c>
      <x:c r="G532" s="24" t="str">
        <x:v>Tidak minat</x:v>
      </x:c>
      <x:c r="H532" s="26" t="n">
        <x:f>Probabilitas!$C$4*INDEX(Probabilitas!$C$10:$C$11,MATCH(D532,Probabilitas!$A$10:$A$11,0))*INDEX(Probabilitas!$C$16:$C$22,MATCH(E532,Probabilitas!$A$16:$A$22,0))*INDEX(Probabilitas!$C$27:$C$28,MATCH(F532,Probabilitas!$A$27:$A$28,0))</x:f>
        <x:v>0.0000043025662753556825</x:v>
      </x:c>
      <x:c r="I532" s="26" t="n">
        <x:f>Probabilitas!$C$5*INDEX(Probabilitas!$E$10:$E$11,MATCH(D532,Probabilitas!$A$10:$A$11,0))*INDEX(Probabilitas!$E$16:$E$22,MATCH(E532,Probabilitas!$A$16:$A$22,0))*INDEX(Probabilitas!$E$27:$E$28,MATCH(F532,Probabilitas!$A$27:$A$28,0))</x:f>
        <x:v>0.1384604635276108</x:v>
      </x:c>
      <x:c r="J532" s="26" t="n">
        <x:f>IFERROR(H532/(H532+I532),0)</x:f>
        <x:v>0.00003107336542523984</x:v>
      </x:c>
      <x:c r="K532" s="26" t="n">
        <x:f>IFERROR(I532/(H532+I532),0)</x:f>
        <x:v>0.9999689266345748</x:v>
      </x:c>
      <x:c r="L532" s="24" t="str">
        <x:f>IF(J532&gt;=K532,"Minat","Tidak minat")</x:f>
        <x:v>Tidak minat</x:v>
      </x:c>
      <x:c r="M532" s="24" t="str">
        <x:f>IF(L532=G532,"Sesuai label latih","Berbeda dari label latih")</x:f>
        <x:v>Sesuai label latih</x:v>
      </x:c>
    </x:row>
    <x:row r="533">
      <x:c r="A533" s="24" t="n">
        <x:v>532</x:v>
      </x:c>
      <x:c r="B533" s="24" t="str">
        <x:v>TSM4-L-061</x:v>
      </x:c>
      <x:c r="C533" s="24" t="str">
        <x:v>Siswa TSM4 L-061</x:v>
      </x:c>
      <x:c r="D533" s="24" t="str">
        <x:v>TSM / Teknik Sepeda Motor</x:v>
      </x:c>
      <x:c r="E533" s="24" t="str">
        <x:v>TSM 4</x:v>
      </x:c>
      <x:c r="F533" s="24" t="str">
        <x:v>Laki-laki</x:v>
      </x:c>
      <x:c r="G533" s="24" t="str">
        <x:v>Tidak minat</x:v>
      </x:c>
      <x:c r="H533" s="26" t="n">
        <x:f>Probabilitas!$C$4*INDEX(Probabilitas!$C$10:$C$11,MATCH(D533,Probabilitas!$A$10:$A$11,0))*INDEX(Probabilitas!$C$16:$C$22,MATCH(E533,Probabilitas!$A$16:$A$22,0))*INDEX(Probabilitas!$C$27:$C$28,MATCH(F533,Probabilitas!$A$27:$A$28,0))</x:f>
        <x:v>0.0000043025662753556825</x:v>
      </x:c>
      <x:c r="I533" s="26" t="n">
        <x:f>Probabilitas!$C$5*INDEX(Probabilitas!$E$10:$E$11,MATCH(D533,Probabilitas!$A$10:$A$11,0))*INDEX(Probabilitas!$E$16:$E$22,MATCH(E533,Probabilitas!$A$16:$A$22,0))*INDEX(Probabilitas!$E$27:$E$28,MATCH(F533,Probabilitas!$A$27:$A$28,0))</x:f>
        <x:v>0.1384604635276108</x:v>
      </x:c>
      <x:c r="J533" s="26" t="n">
        <x:f>IFERROR(H533/(H533+I533),0)</x:f>
        <x:v>0.00003107336542523984</x:v>
      </x:c>
      <x:c r="K533" s="26" t="n">
        <x:f>IFERROR(I533/(H533+I533),0)</x:f>
        <x:v>0.9999689266345748</x:v>
      </x:c>
      <x:c r="L533" s="24" t="str">
        <x:f>IF(J533&gt;=K533,"Minat","Tidak minat")</x:f>
        <x:v>Tidak minat</x:v>
      </x:c>
      <x:c r="M533" s="24" t="str">
        <x:f>IF(L533=G533,"Sesuai label latih","Berbeda dari label latih")</x:f>
        <x:v>Sesuai label latih</x:v>
      </x:c>
    </x:row>
    <x:row r="534">
      <x:c r="A534" s="24" t="n">
        <x:v>533</x:v>
      </x:c>
      <x:c r="B534" s="24" t="str">
        <x:v>TSM4-L-062</x:v>
      </x:c>
      <x:c r="C534" s="24" t="str">
        <x:v>Siswa TSM4 L-062</x:v>
      </x:c>
      <x:c r="D534" s="24" t="str">
        <x:v>TSM / Teknik Sepeda Motor</x:v>
      </x:c>
      <x:c r="E534" s="24" t="str">
        <x:v>TSM 4</x:v>
      </x:c>
      <x:c r="F534" s="24" t="str">
        <x:v>Laki-laki</x:v>
      </x:c>
      <x:c r="G534" s="24" t="str">
        <x:v>Tidak minat</x:v>
      </x:c>
      <x:c r="H534" s="26" t="n">
        <x:f>Probabilitas!$C$4*INDEX(Probabilitas!$C$10:$C$11,MATCH(D534,Probabilitas!$A$10:$A$11,0))*INDEX(Probabilitas!$C$16:$C$22,MATCH(E534,Probabilitas!$A$16:$A$22,0))*INDEX(Probabilitas!$C$27:$C$28,MATCH(F534,Probabilitas!$A$27:$A$28,0))</x:f>
        <x:v>0.0000043025662753556825</x:v>
      </x:c>
      <x:c r="I534" s="26" t="n">
        <x:f>Probabilitas!$C$5*INDEX(Probabilitas!$E$10:$E$11,MATCH(D534,Probabilitas!$A$10:$A$11,0))*INDEX(Probabilitas!$E$16:$E$22,MATCH(E534,Probabilitas!$A$16:$A$22,0))*INDEX(Probabilitas!$E$27:$E$28,MATCH(F534,Probabilitas!$A$27:$A$28,0))</x:f>
        <x:v>0.1384604635276108</x:v>
      </x:c>
      <x:c r="J534" s="26" t="n">
        <x:f>IFERROR(H534/(H534+I534),0)</x:f>
        <x:v>0.00003107336542523984</x:v>
      </x:c>
      <x:c r="K534" s="26" t="n">
        <x:f>IFERROR(I534/(H534+I534),0)</x:f>
        <x:v>0.9999689266345748</x:v>
      </x:c>
      <x:c r="L534" s="24" t="str">
        <x:f>IF(J534&gt;=K534,"Minat","Tidak minat")</x:f>
        <x:v>Tidak minat</x:v>
      </x:c>
      <x:c r="M534" s="24" t="str">
        <x:f>IF(L534=G534,"Sesuai label latih","Berbeda dari label latih")</x:f>
        <x:v>Sesuai label latih</x:v>
      </x:c>
    </x:row>
    <x:row r="535">
      <x:c r="A535" s="24" t="n">
        <x:v>534</x:v>
      </x:c>
      <x:c r="B535" s="24" t="str">
        <x:v>TSM4-L-063</x:v>
      </x:c>
      <x:c r="C535" s="24" t="str">
        <x:v>Siswa TSM4 L-063</x:v>
      </x:c>
      <x:c r="D535" s="24" t="str">
        <x:v>TSM / Teknik Sepeda Motor</x:v>
      </x:c>
      <x:c r="E535" s="24" t="str">
        <x:v>TSM 4</x:v>
      </x:c>
      <x:c r="F535" s="24" t="str">
        <x:v>Laki-laki</x:v>
      </x:c>
      <x:c r="G535" s="24" t="str">
        <x:v>Tidak minat</x:v>
      </x:c>
      <x:c r="H535" s="26" t="n">
        <x:f>Probabilitas!$C$4*INDEX(Probabilitas!$C$10:$C$11,MATCH(D535,Probabilitas!$A$10:$A$11,0))*INDEX(Probabilitas!$C$16:$C$22,MATCH(E535,Probabilitas!$A$16:$A$22,0))*INDEX(Probabilitas!$C$27:$C$28,MATCH(F535,Probabilitas!$A$27:$A$28,0))</x:f>
        <x:v>0.0000043025662753556825</x:v>
      </x:c>
      <x:c r="I535" s="26" t="n">
        <x:f>Probabilitas!$C$5*INDEX(Probabilitas!$E$10:$E$11,MATCH(D535,Probabilitas!$A$10:$A$11,0))*INDEX(Probabilitas!$E$16:$E$22,MATCH(E535,Probabilitas!$A$16:$A$22,0))*INDEX(Probabilitas!$E$27:$E$28,MATCH(F535,Probabilitas!$A$27:$A$28,0))</x:f>
        <x:v>0.1384604635276108</x:v>
      </x:c>
      <x:c r="J535" s="26" t="n">
        <x:f>IFERROR(H535/(H535+I535),0)</x:f>
        <x:v>0.00003107336542523984</x:v>
      </x:c>
      <x:c r="K535" s="26" t="n">
        <x:f>IFERROR(I535/(H535+I535),0)</x:f>
        <x:v>0.9999689266345748</x:v>
      </x:c>
      <x:c r="L535" s="24" t="str">
        <x:f>IF(J535&gt;=K535,"Minat","Tidak minat")</x:f>
        <x:v>Tidak minat</x:v>
      </x:c>
      <x:c r="M535" s="24" t="str">
        <x:f>IF(L535=G535,"Sesuai label latih","Berbeda dari label latih")</x:f>
        <x:v>Sesuai label latih</x:v>
      </x:c>
    </x:row>
    <x:row r="536">
      <x:c r="A536" s="24" t="n">
        <x:v>535</x:v>
      </x:c>
      <x:c r="B536" s="24" t="str">
        <x:v>TSM4-L-064</x:v>
      </x:c>
      <x:c r="C536" s="24" t="str">
        <x:v>Siswa TSM4 L-064</x:v>
      </x:c>
      <x:c r="D536" s="24" t="str">
        <x:v>TSM / Teknik Sepeda Motor</x:v>
      </x:c>
      <x:c r="E536" s="24" t="str">
        <x:v>TSM 4</x:v>
      </x:c>
      <x:c r="F536" s="24" t="str">
        <x:v>Laki-laki</x:v>
      </x:c>
      <x:c r="G536" s="24" t="str">
        <x:v>Tidak minat</x:v>
      </x:c>
      <x:c r="H536" s="26" t="n">
        <x:f>Probabilitas!$C$4*INDEX(Probabilitas!$C$10:$C$11,MATCH(D536,Probabilitas!$A$10:$A$11,0))*INDEX(Probabilitas!$C$16:$C$22,MATCH(E536,Probabilitas!$A$16:$A$22,0))*INDEX(Probabilitas!$C$27:$C$28,MATCH(F536,Probabilitas!$A$27:$A$28,0))</x:f>
        <x:v>0.0000043025662753556825</x:v>
      </x:c>
      <x:c r="I536" s="26" t="n">
        <x:f>Probabilitas!$C$5*INDEX(Probabilitas!$E$10:$E$11,MATCH(D536,Probabilitas!$A$10:$A$11,0))*INDEX(Probabilitas!$E$16:$E$22,MATCH(E536,Probabilitas!$A$16:$A$22,0))*INDEX(Probabilitas!$E$27:$E$28,MATCH(F536,Probabilitas!$A$27:$A$28,0))</x:f>
        <x:v>0.1384604635276108</x:v>
      </x:c>
      <x:c r="J536" s="26" t="n">
        <x:f>IFERROR(H536/(H536+I536),0)</x:f>
        <x:v>0.00003107336542523984</x:v>
      </x:c>
      <x:c r="K536" s="26" t="n">
        <x:f>IFERROR(I536/(H536+I536),0)</x:f>
        <x:v>0.9999689266345748</x:v>
      </x:c>
      <x:c r="L536" s="24" t="str">
        <x:f>IF(J536&gt;=K536,"Minat","Tidak minat")</x:f>
        <x:v>Tidak minat</x:v>
      </x:c>
      <x:c r="M536" s="24" t="str">
        <x:f>IF(L536=G536,"Sesuai label latih","Berbeda dari label latih")</x:f>
        <x:v>Sesuai label latih</x:v>
      </x:c>
    </x:row>
    <x:row r="537">
      <x:c r="A537" s="24" t="n">
        <x:v>536</x:v>
      </x:c>
      <x:c r="B537" s="24" t="str">
        <x:v>TSM4-L-065</x:v>
      </x:c>
      <x:c r="C537" s="24" t="str">
        <x:v>Siswa TSM4 L-065</x:v>
      </x:c>
      <x:c r="D537" s="24" t="str">
        <x:v>TSM / Teknik Sepeda Motor</x:v>
      </x:c>
      <x:c r="E537" s="24" t="str">
        <x:v>TSM 4</x:v>
      </x:c>
      <x:c r="F537" s="24" t="str">
        <x:v>Laki-laki</x:v>
      </x:c>
      <x:c r="G537" s="24" t="str">
        <x:v>Tidak minat</x:v>
      </x:c>
      <x:c r="H537" s="26" t="n">
        <x:f>Probabilitas!$C$4*INDEX(Probabilitas!$C$10:$C$11,MATCH(D537,Probabilitas!$A$10:$A$11,0))*INDEX(Probabilitas!$C$16:$C$22,MATCH(E537,Probabilitas!$A$16:$A$22,0))*INDEX(Probabilitas!$C$27:$C$28,MATCH(F537,Probabilitas!$A$27:$A$28,0))</x:f>
        <x:v>0.0000043025662753556825</x:v>
      </x:c>
      <x:c r="I537" s="26" t="n">
        <x:f>Probabilitas!$C$5*INDEX(Probabilitas!$E$10:$E$11,MATCH(D537,Probabilitas!$A$10:$A$11,0))*INDEX(Probabilitas!$E$16:$E$22,MATCH(E537,Probabilitas!$A$16:$A$22,0))*INDEX(Probabilitas!$E$27:$E$28,MATCH(F537,Probabilitas!$A$27:$A$28,0))</x:f>
        <x:v>0.1384604635276108</x:v>
      </x:c>
      <x:c r="J537" s="26" t="n">
        <x:f>IFERROR(H537/(H537+I537),0)</x:f>
        <x:v>0.00003107336542523984</x:v>
      </x:c>
      <x:c r="K537" s="26" t="n">
        <x:f>IFERROR(I537/(H537+I537),0)</x:f>
        <x:v>0.9999689266345748</x:v>
      </x:c>
      <x:c r="L537" s="24" t="str">
        <x:f>IF(J537&gt;=K537,"Minat","Tidak minat")</x:f>
        <x:v>Tidak minat</x:v>
      </x:c>
      <x:c r="M537" s="24" t="str">
        <x:f>IF(L537=G537,"Sesuai label latih","Berbeda dari label latih")</x:f>
        <x:v>Sesuai label latih</x:v>
      </x:c>
    </x:row>
    <x:row r="538">
      <x:c r="A538" s="24" t="n">
        <x:v>537</x:v>
      </x:c>
      <x:c r="B538" s="24" t="str">
        <x:v>TSM4-L-066</x:v>
      </x:c>
      <x:c r="C538" s="24" t="str">
        <x:v>Siswa TSM4 L-066</x:v>
      </x:c>
      <x:c r="D538" s="24" t="str">
        <x:v>TSM / Teknik Sepeda Motor</x:v>
      </x:c>
      <x:c r="E538" s="24" t="str">
        <x:v>TSM 4</x:v>
      </x:c>
      <x:c r="F538" s="24" t="str">
        <x:v>Laki-laki</x:v>
      </x:c>
      <x:c r="G538" s="24" t="str">
        <x:v>Tidak minat</x:v>
      </x:c>
      <x:c r="H538" s="26" t="n">
        <x:f>Probabilitas!$C$4*INDEX(Probabilitas!$C$10:$C$11,MATCH(D538,Probabilitas!$A$10:$A$11,0))*INDEX(Probabilitas!$C$16:$C$22,MATCH(E538,Probabilitas!$A$16:$A$22,0))*INDEX(Probabilitas!$C$27:$C$28,MATCH(F538,Probabilitas!$A$27:$A$28,0))</x:f>
        <x:v>0.0000043025662753556825</x:v>
      </x:c>
      <x:c r="I538" s="26" t="n">
        <x:f>Probabilitas!$C$5*INDEX(Probabilitas!$E$10:$E$11,MATCH(D538,Probabilitas!$A$10:$A$11,0))*INDEX(Probabilitas!$E$16:$E$22,MATCH(E538,Probabilitas!$A$16:$A$22,0))*INDEX(Probabilitas!$E$27:$E$28,MATCH(F538,Probabilitas!$A$27:$A$28,0))</x:f>
        <x:v>0.1384604635276108</x:v>
      </x:c>
      <x:c r="J538" s="26" t="n">
        <x:f>IFERROR(H538/(H538+I538),0)</x:f>
        <x:v>0.00003107336542523984</x:v>
      </x:c>
      <x:c r="K538" s="26" t="n">
        <x:f>IFERROR(I538/(H538+I538),0)</x:f>
        <x:v>0.9999689266345748</x:v>
      </x:c>
      <x:c r="L538" s="24" t="str">
        <x:f>IF(J538&gt;=K538,"Minat","Tidak minat")</x:f>
        <x:v>Tidak minat</x:v>
      </x:c>
      <x:c r="M538" s="24" t="str">
        <x:f>IF(L538=G538,"Sesuai label latih","Berbeda dari label latih")</x:f>
        <x:v>Sesuai label latih</x:v>
      </x:c>
    </x:row>
    <x:row r="539">
      <x:c r="A539" s="24" t="n">
        <x:v>538</x:v>
      </x:c>
      <x:c r="B539" s="24" t="str">
        <x:v>TSM4-L-067</x:v>
      </x:c>
      <x:c r="C539" s="24" t="str">
        <x:v>Siswa TSM4 L-067</x:v>
      </x:c>
      <x:c r="D539" s="24" t="str">
        <x:v>TSM / Teknik Sepeda Motor</x:v>
      </x:c>
      <x:c r="E539" s="24" t="str">
        <x:v>TSM 4</x:v>
      </x:c>
      <x:c r="F539" s="24" t="str">
        <x:v>Laki-laki</x:v>
      </x:c>
      <x:c r="G539" s="24" t="str">
        <x:v>Tidak minat</x:v>
      </x:c>
      <x:c r="H539" s="26" t="n">
        <x:f>Probabilitas!$C$4*INDEX(Probabilitas!$C$10:$C$11,MATCH(D539,Probabilitas!$A$10:$A$11,0))*INDEX(Probabilitas!$C$16:$C$22,MATCH(E539,Probabilitas!$A$16:$A$22,0))*INDEX(Probabilitas!$C$27:$C$28,MATCH(F539,Probabilitas!$A$27:$A$28,0))</x:f>
        <x:v>0.0000043025662753556825</x:v>
      </x:c>
      <x:c r="I539" s="26" t="n">
        <x:f>Probabilitas!$C$5*INDEX(Probabilitas!$E$10:$E$11,MATCH(D539,Probabilitas!$A$10:$A$11,0))*INDEX(Probabilitas!$E$16:$E$22,MATCH(E539,Probabilitas!$A$16:$A$22,0))*INDEX(Probabilitas!$E$27:$E$28,MATCH(F539,Probabilitas!$A$27:$A$28,0))</x:f>
        <x:v>0.1384604635276108</x:v>
      </x:c>
      <x:c r="J539" s="26" t="n">
        <x:f>IFERROR(H539/(H539+I539),0)</x:f>
        <x:v>0.00003107336542523984</x:v>
      </x:c>
      <x:c r="K539" s="26" t="n">
        <x:f>IFERROR(I539/(H539+I539),0)</x:f>
        <x:v>0.9999689266345748</x:v>
      </x:c>
      <x:c r="L539" s="24" t="str">
        <x:f>IF(J539&gt;=K539,"Minat","Tidak minat")</x:f>
        <x:v>Tidak minat</x:v>
      </x:c>
      <x:c r="M539" s="24" t="str">
        <x:f>IF(L539=G539,"Sesuai label latih","Berbeda dari label latih")</x:f>
        <x:v>Sesuai label latih</x:v>
      </x:c>
    </x:row>
    <x:row r="540">
      <x:c r="A540" s="24" t="n">
        <x:v>539</x:v>
      </x:c>
      <x:c r="B540" s="24" t="str">
        <x:v>TSM4-L-068</x:v>
      </x:c>
      <x:c r="C540" s="24" t="str">
        <x:v>Siswa TSM4 L-068</x:v>
      </x:c>
      <x:c r="D540" s="24" t="str">
        <x:v>TSM / Teknik Sepeda Motor</x:v>
      </x:c>
      <x:c r="E540" s="24" t="str">
        <x:v>TSM 4</x:v>
      </x:c>
      <x:c r="F540" s="24" t="str">
        <x:v>Laki-laki</x:v>
      </x:c>
      <x:c r="G540" s="24" t="str">
        <x:v>Tidak minat</x:v>
      </x:c>
      <x:c r="H540" s="26" t="n">
        <x:f>Probabilitas!$C$4*INDEX(Probabilitas!$C$10:$C$11,MATCH(D540,Probabilitas!$A$10:$A$11,0))*INDEX(Probabilitas!$C$16:$C$22,MATCH(E540,Probabilitas!$A$16:$A$22,0))*INDEX(Probabilitas!$C$27:$C$28,MATCH(F540,Probabilitas!$A$27:$A$28,0))</x:f>
        <x:v>0.0000043025662753556825</x:v>
      </x:c>
      <x:c r="I540" s="26" t="n">
        <x:f>Probabilitas!$C$5*INDEX(Probabilitas!$E$10:$E$11,MATCH(D540,Probabilitas!$A$10:$A$11,0))*INDEX(Probabilitas!$E$16:$E$22,MATCH(E540,Probabilitas!$A$16:$A$22,0))*INDEX(Probabilitas!$E$27:$E$28,MATCH(F540,Probabilitas!$A$27:$A$28,0))</x:f>
        <x:v>0.1384604635276108</x:v>
      </x:c>
      <x:c r="J540" s="26" t="n">
        <x:f>IFERROR(H540/(H540+I540),0)</x:f>
        <x:v>0.00003107336542523984</x:v>
      </x:c>
      <x:c r="K540" s="26" t="n">
        <x:f>IFERROR(I540/(H540+I540),0)</x:f>
        <x:v>0.9999689266345748</x:v>
      </x:c>
      <x:c r="L540" s="24" t="str">
        <x:f>IF(J540&gt;=K540,"Minat","Tidak minat")</x:f>
        <x:v>Tidak minat</x:v>
      </x:c>
      <x:c r="M540" s="24" t="str">
        <x:f>IF(L540=G540,"Sesuai label latih","Berbeda dari label latih")</x:f>
        <x:v>Sesuai label latih</x:v>
      </x:c>
    </x:row>
    <x:row r="541">
      <x:c r="A541" s="24" t="n">
        <x:v>540</x:v>
      </x:c>
      <x:c r="B541" s="24" t="str">
        <x:v>TSM4-L-069</x:v>
      </x:c>
      <x:c r="C541" s="24" t="str">
        <x:v>Siswa TSM4 L-069</x:v>
      </x:c>
      <x:c r="D541" s="24" t="str">
        <x:v>TSM / Teknik Sepeda Motor</x:v>
      </x:c>
      <x:c r="E541" s="24" t="str">
        <x:v>TSM 4</x:v>
      </x:c>
      <x:c r="F541" s="24" t="str">
        <x:v>Laki-laki</x:v>
      </x:c>
      <x:c r="G541" s="24" t="str">
        <x:v>Tidak minat</x:v>
      </x:c>
      <x:c r="H541" s="26" t="n">
        <x:f>Probabilitas!$C$4*INDEX(Probabilitas!$C$10:$C$11,MATCH(D541,Probabilitas!$A$10:$A$11,0))*INDEX(Probabilitas!$C$16:$C$22,MATCH(E541,Probabilitas!$A$16:$A$22,0))*INDEX(Probabilitas!$C$27:$C$28,MATCH(F541,Probabilitas!$A$27:$A$28,0))</x:f>
        <x:v>0.0000043025662753556825</x:v>
      </x:c>
      <x:c r="I541" s="26" t="n">
        <x:f>Probabilitas!$C$5*INDEX(Probabilitas!$E$10:$E$11,MATCH(D541,Probabilitas!$A$10:$A$11,0))*INDEX(Probabilitas!$E$16:$E$22,MATCH(E541,Probabilitas!$A$16:$A$22,0))*INDEX(Probabilitas!$E$27:$E$28,MATCH(F541,Probabilitas!$A$27:$A$28,0))</x:f>
        <x:v>0.1384604635276108</x:v>
      </x:c>
      <x:c r="J541" s="26" t="n">
        <x:f>IFERROR(H541/(H541+I541),0)</x:f>
        <x:v>0.00003107336542523984</x:v>
      </x:c>
      <x:c r="K541" s="26" t="n">
        <x:f>IFERROR(I541/(H541+I541),0)</x:f>
        <x:v>0.9999689266345748</x:v>
      </x:c>
      <x:c r="L541" s="24" t="str">
        <x:f>IF(J541&gt;=K541,"Minat","Tidak minat")</x:f>
        <x:v>Tidak minat</x:v>
      </x:c>
      <x:c r="M541" s="24" t="str">
        <x:f>IF(L541=G541,"Sesuai label latih","Berbeda dari label latih")</x:f>
        <x:v>Sesuai label latih</x:v>
      </x:c>
    </x:row>
    <x:row r="542">
      <x:c r="A542" s="24" t="n">
        <x:v>541</x:v>
      </x:c>
      <x:c r="B542" s="24" t="str">
        <x:v>TSM4-L-070</x:v>
      </x:c>
      <x:c r="C542" s="24" t="str">
        <x:v>Siswa TSM4 L-070</x:v>
      </x:c>
      <x:c r="D542" s="24" t="str">
        <x:v>TSM / Teknik Sepeda Motor</x:v>
      </x:c>
      <x:c r="E542" s="24" t="str">
        <x:v>TSM 4</x:v>
      </x:c>
      <x:c r="F542" s="24" t="str">
        <x:v>Laki-laki</x:v>
      </x:c>
      <x:c r="G542" s="24" t="str">
        <x:v>Tidak minat</x:v>
      </x:c>
      <x:c r="H542" s="26" t="n">
        <x:f>Probabilitas!$C$4*INDEX(Probabilitas!$C$10:$C$11,MATCH(D542,Probabilitas!$A$10:$A$11,0))*INDEX(Probabilitas!$C$16:$C$22,MATCH(E542,Probabilitas!$A$16:$A$22,0))*INDEX(Probabilitas!$C$27:$C$28,MATCH(F542,Probabilitas!$A$27:$A$28,0))</x:f>
        <x:v>0.0000043025662753556825</x:v>
      </x:c>
      <x:c r="I542" s="26" t="n">
        <x:f>Probabilitas!$C$5*INDEX(Probabilitas!$E$10:$E$11,MATCH(D542,Probabilitas!$A$10:$A$11,0))*INDEX(Probabilitas!$E$16:$E$22,MATCH(E542,Probabilitas!$A$16:$A$22,0))*INDEX(Probabilitas!$E$27:$E$28,MATCH(F542,Probabilitas!$A$27:$A$28,0))</x:f>
        <x:v>0.1384604635276108</x:v>
      </x:c>
      <x:c r="J542" s="26" t="n">
        <x:f>IFERROR(H542/(H542+I542),0)</x:f>
        <x:v>0.00003107336542523984</x:v>
      </x:c>
      <x:c r="K542" s="26" t="n">
        <x:f>IFERROR(I542/(H542+I542),0)</x:f>
        <x:v>0.9999689266345748</x:v>
      </x:c>
      <x:c r="L542" s="24" t="str">
        <x:f>IF(J542&gt;=K542,"Minat","Tidak minat")</x:f>
        <x:v>Tidak minat</x:v>
      </x:c>
      <x:c r="M542" s="24" t="str">
        <x:f>IF(L542=G542,"Sesuai label latih","Berbeda dari label latih")</x:f>
        <x:v>Sesuai label latih</x:v>
      </x:c>
    </x:row>
    <x:row r="543">
      <x:c r="A543" s="24" t="n">
        <x:v>542</x:v>
      </x:c>
      <x:c r="B543" s="24" t="str">
        <x:v>TSM4-L-071</x:v>
      </x:c>
      <x:c r="C543" s="24" t="str">
        <x:v>Siswa TSM4 L-071</x:v>
      </x:c>
      <x:c r="D543" s="24" t="str">
        <x:v>TSM / Teknik Sepeda Motor</x:v>
      </x:c>
      <x:c r="E543" s="24" t="str">
        <x:v>TSM 4</x:v>
      </x:c>
      <x:c r="F543" s="24" t="str">
        <x:v>Laki-laki</x:v>
      </x:c>
      <x:c r="G543" s="24" t="str">
        <x:v>Tidak minat</x:v>
      </x:c>
      <x:c r="H543" s="26" t="n">
        <x:f>Probabilitas!$C$4*INDEX(Probabilitas!$C$10:$C$11,MATCH(D543,Probabilitas!$A$10:$A$11,0))*INDEX(Probabilitas!$C$16:$C$22,MATCH(E543,Probabilitas!$A$16:$A$22,0))*INDEX(Probabilitas!$C$27:$C$28,MATCH(F543,Probabilitas!$A$27:$A$28,0))</x:f>
        <x:v>0.0000043025662753556825</x:v>
      </x:c>
      <x:c r="I543" s="26" t="n">
        <x:f>Probabilitas!$C$5*INDEX(Probabilitas!$E$10:$E$11,MATCH(D543,Probabilitas!$A$10:$A$11,0))*INDEX(Probabilitas!$E$16:$E$22,MATCH(E543,Probabilitas!$A$16:$A$22,0))*INDEX(Probabilitas!$E$27:$E$28,MATCH(F543,Probabilitas!$A$27:$A$28,0))</x:f>
        <x:v>0.1384604635276108</x:v>
      </x:c>
      <x:c r="J543" s="26" t="n">
        <x:f>IFERROR(H543/(H543+I543),0)</x:f>
        <x:v>0.00003107336542523984</x:v>
      </x:c>
      <x:c r="K543" s="26" t="n">
        <x:f>IFERROR(I543/(H543+I543),0)</x:f>
        <x:v>0.9999689266345748</x:v>
      </x:c>
      <x:c r="L543" s="24" t="str">
        <x:f>IF(J543&gt;=K543,"Minat","Tidak minat")</x:f>
        <x:v>Tidak minat</x:v>
      </x:c>
      <x:c r="M543" s="24" t="str">
        <x:f>IF(L543=G543,"Sesuai label latih","Berbeda dari label latih")</x:f>
        <x:v>Sesuai label latih</x:v>
      </x:c>
    </x:row>
    <x:row r="544">
      <x:c r="A544" s="24" t="n">
        <x:v>543</x:v>
      </x:c>
      <x:c r="B544" s="24" t="str">
        <x:v>TSM4-L-072</x:v>
      </x:c>
      <x:c r="C544" s="24" t="str">
        <x:v>Siswa TSM4 L-072</x:v>
      </x:c>
      <x:c r="D544" s="24" t="str">
        <x:v>TSM / Teknik Sepeda Motor</x:v>
      </x:c>
      <x:c r="E544" s="24" t="str">
        <x:v>TSM 4</x:v>
      </x:c>
      <x:c r="F544" s="24" t="str">
        <x:v>Laki-laki</x:v>
      </x:c>
      <x:c r="G544" s="24" t="str">
        <x:v>Tidak minat</x:v>
      </x:c>
      <x:c r="H544" s="26" t="n">
        <x:f>Probabilitas!$C$4*INDEX(Probabilitas!$C$10:$C$11,MATCH(D544,Probabilitas!$A$10:$A$11,0))*INDEX(Probabilitas!$C$16:$C$22,MATCH(E544,Probabilitas!$A$16:$A$22,0))*INDEX(Probabilitas!$C$27:$C$28,MATCH(F544,Probabilitas!$A$27:$A$28,0))</x:f>
        <x:v>0.0000043025662753556825</x:v>
      </x:c>
      <x:c r="I544" s="26" t="n">
        <x:f>Probabilitas!$C$5*INDEX(Probabilitas!$E$10:$E$11,MATCH(D544,Probabilitas!$A$10:$A$11,0))*INDEX(Probabilitas!$E$16:$E$22,MATCH(E544,Probabilitas!$A$16:$A$22,0))*INDEX(Probabilitas!$E$27:$E$28,MATCH(F544,Probabilitas!$A$27:$A$28,0))</x:f>
        <x:v>0.1384604635276108</x:v>
      </x:c>
      <x:c r="J544" s="26" t="n">
        <x:f>IFERROR(H544/(H544+I544),0)</x:f>
        <x:v>0.00003107336542523984</x:v>
      </x:c>
      <x:c r="K544" s="26" t="n">
        <x:f>IFERROR(I544/(H544+I544),0)</x:f>
        <x:v>0.9999689266345748</x:v>
      </x:c>
      <x:c r="L544" s="24" t="str">
        <x:f>IF(J544&gt;=K544,"Minat","Tidak minat")</x:f>
        <x:v>Tidak minat</x:v>
      </x:c>
      <x:c r="M544" s="24" t="str">
        <x:f>IF(L544=G544,"Sesuai label latih","Berbeda dari label latih")</x:f>
        <x:v>Sesuai label latih</x:v>
      </x:c>
    </x:row>
    <x:row r="545">
      <x:c r="A545" s="24" t="n">
        <x:v>544</x:v>
      </x:c>
      <x:c r="B545" s="24" t="str">
        <x:v>TSM4-L-073</x:v>
      </x:c>
      <x:c r="C545" s="24" t="str">
        <x:v>Siswa TSM4 L-073</x:v>
      </x:c>
      <x:c r="D545" s="24" t="str">
        <x:v>TSM / Teknik Sepeda Motor</x:v>
      </x:c>
      <x:c r="E545" s="24" t="str">
        <x:v>TSM 4</x:v>
      </x:c>
      <x:c r="F545" s="24" t="str">
        <x:v>Laki-laki</x:v>
      </x:c>
      <x:c r="G545" s="24" t="str">
        <x:v>Tidak minat</x:v>
      </x:c>
      <x:c r="H545" s="26" t="n">
        <x:f>Probabilitas!$C$4*INDEX(Probabilitas!$C$10:$C$11,MATCH(D545,Probabilitas!$A$10:$A$11,0))*INDEX(Probabilitas!$C$16:$C$22,MATCH(E545,Probabilitas!$A$16:$A$22,0))*INDEX(Probabilitas!$C$27:$C$28,MATCH(F545,Probabilitas!$A$27:$A$28,0))</x:f>
        <x:v>0.0000043025662753556825</x:v>
      </x:c>
      <x:c r="I545" s="26" t="n">
        <x:f>Probabilitas!$C$5*INDEX(Probabilitas!$E$10:$E$11,MATCH(D545,Probabilitas!$A$10:$A$11,0))*INDEX(Probabilitas!$E$16:$E$22,MATCH(E545,Probabilitas!$A$16:$A$22,0))*INDEX(Probabilitas!$E$27:$E$28,MATCH(F545,Probabilitas!$A$27:$A$28,0))</x:f>
        <x:v>0.1384604635276108</x:v>
      </x:c>
      <x:c r="J545" s="26" t="n">
        <x:f>IFERROR(H545/(H545+I545),0)</x:f>
        <x:v>0.00003107336542523984</x:v>
      </x:c>
      <x:c r="K545" s="26" t="n">
        <x:f>IFERROR(I545/(H545+I545),0)</x:f>
        <x:v>0.9999689266345748</x:v>
      </x:c>
      <x:c r="L545" s="24" t="str">
        <x:f>IF(J545&gt;=K545,"Minat","Tidak minat")</x:f>
        <x:v>Tidak minat</x:v>
      </x:c>
      <x:c r="M545" s="24" t="str">
        <x:f>IF(L545=G545,"Sesuai label latih","Berbeda dari label latih")</x:f>
        <x:v>Sesuai label latih</x:v>
      </x:c>
    </x:row>
    <x:row r="546">
      <x:c r="A546" s="24" t="n">
        <x:v>545</x:v>
      </x:c>
      <x:c r="B546" s="24" t="str">
        <x:v>TSM4-L-074</x:v>
      </x:c>
      <x:c r="C546" s="24" t="str">
        <x:v>Siswa TSM4 L-074</x:v>
      </x:c>
      <x:c r="D546" s="24" t="str">
        <x:v>TSM / Teknik Sepeda Motor</x:v>
      </x:c>
      <x:c r="E546" s="24" t="str">
        <x:v>TSM 4</x:v>
      </x:c>
      <x:c r="F546" s="24" t="str">
        <x:v>Laki-laki</x:v>
      </x:c>
      <x:c r="G546" s="24" t="str">
        <x:v>Tidak minat</x:v>
      </x:c>
      <x:c r="H546" s="26" t="n">
        <x:f>Probabilitas!$C$4*INDEX(Probabilitas!$C$10:$C$11,MATCH(D546,Probabilitas!$A$10:$A$11,0))*INDEX(Probabilitas!$C$16:$C$22,MATCH(E546,Probabilitas!$A$16:$A$22,0))*INDEX(Probabilitas!$C$27:$C$28,MATCH(F546,Probabilitas!$A$27:$A$28,0))</x:f>
        <x:v>0.0000043025662753556825</x:v>
      </x:c>
      <x:c r="I546" s="26" t="n">
        <x:f>Probabilitas!$C$5*INDEX(Probabilitas!$E$10:$E$11,MATCH(D546,Probabilitas!$A$10:$A$11,0))*INDEX(Probabilitas!$E$16:$E$22,MATCH(E546,Probabilitas!$A$16:$A$22,0))*INDEX(Probabilitas!$E$27:$E$28,MATCH(F546,Probabilitas!$A$27:$A$28,0))</x:f>
        <x:v>0.1384604635276108</x:v>
      </x:c>
      <x:c r="J546" s="26" t="n">
        <x:f>IFERROR(H546/(H546+I546),0)</x:f>
        <x:v>0.00003107336542523984</x:v>
      </x:c>
      <x:c r="K546" s="26" t="n">
        <x:f>IFERROR(I546/(H546+I546),0)</x:f>
        <x:v>0.9999689266345748</x:v>
      </x:c>
      <x:c r="L546" s="24" t="str">
        <x:f>IF(J546&gt;=K546,"Minat","Tidak minat")</x:f>
        <x:v>Tidak minat</x:v>
      </x:c>
      <x:c r="M546" s="24" t="str">
        <x:f>IF(L546=G546,"Sesuai label latih","Berbeda dari label latih")</x:f>
        <x:v>Sesuai label latih</x:v>
      </x:c>
    </x:row>
    <x:row r="547">
      <x:c r="A547" s="24" t="n">
        <x:v>546</x:v>
      </x:c>
      <x:c r="B547" s="24" t="str">
        <x:v>TSM4-L-075</x:v>
      </x:c>
      <x:c r="C547" s="24" t="str">
        <x:v>Siswa TSM4 L-075</x:v>
      </x:c>
      <x:c r="D547" s="24" t="str">
        <x:v>TSM / Teknik Sepeda Motor</x:v>
      </x:c>
      <x:c r="E547" s="24" t="str">
        <x:v>TSM 4</x:v>
      </x:c>
      <x:c r="F547" s="24" t="str">
        <x:v>Laki-laki</x:v>
      </x:c>
      <x:c r="G547" s="24" t="str">
        <x:v>Tidak minat</x:v>
      </x:c>
      <x:c r="H547" s="26" t="n">
        <x:f>Probabilitas!$C$4*INDEX(Probabilitas!$C$10:$C$11,MATCH(D547,Probabilitas!$A$10:$A$11,0))*INDEX(Probabilitas!$C$16:$C$22,MATCH(E547,Probabilitas!$A$16:$A$22,0))*INDEX(Probabilitas!$C$27:$C$28,MATCH(F547,Probabilitas!$A$27:$A$28,0))</x:f>
        <x:v>0.0000043025662753556825</x:v>
      </x:c>
      <x:c r="I547" s="26" t="n">
        <x:f>Probabilitas!$C$5*INDEX(Probabilitas!$E$10:$E$11,MATCH(D547,Probabilitas!$A$10:$A$11,0))*INDEX(Probabilitas!$E$16:$E$22,MATCH(E547,Probabilitas!$A$16:$A$22,0))*INDEX(Probabilitas!$E$27:$E$28,MATCH(F547,Probabilitas!$A$27:$A$28,0))</x:f>
        <x:v>0.1384604635276108</x:v>
      </x:c>
      <x:c r="J547" s="26" t="n">
        <x:f>IFERROR(H547/(H547+I547),0)</x:f>
        <x:v>0.00003107336542523984</x:v>
      </x:c>
      <x:c r="K547" s="26" t="n">
        <x:f>IFERROR(I547/(H547+I547),0)</x:f>
        <x:v>0.9999689266345748</x:v>
      </x:c>
      <x:c r="L547" s="24" t="str">
        <x:f>IF(J547&gt;=K547,"Minat","Tidak minat")</x:f>
        <x:v>Tidak minat</x:v>
      </x:c>
      <x:c r="M547" s="24" t="str">
        <x:f>IF(L547=G547,"Sesuai label latih","Berbeda dari label latih")</x:f>
        <x:v>Sesuai label latih</x:v>
      </x:c>
    </x:row>
    <x:row r="548">
      <x:c r="A548" s="24" t="n">
        <x:v>547</x:v>
      </x:c>
      <x:c r="B548" s="24" t="str">
        <x:v>TSM4-L-076</x:v>
      </x:c>
      <x:c r="C548" s="24" t="str">
        <x:v>Siswa TSM4 L-076</x:v>
      </x:c>
      <x:c r="D548" s="24" t="str">
        <x:v>TSM / Teknik Sepeda Motor</x:v>
      </x:c>
      <x:c r="E548" s="24" t="str">
        <x:v>TSM 4</x:v>
      </x:c>
      <x:c r="F548" s="24" t="str">
        <x:v>Laki-laki</x:v>
      </x:c>
      <x:c r="G548" s="24" t="str">
        <x:v>Tidak minat</x:v>
      </x:c>
      <x:c r="H548" s="26" t="n">
        <x:f>Probabilitas!$C$4*INDEX(Probabilitas!$C$10:$C$11,MATCH(D548,Probabilitas!$A$10:$A$11,0))*INDEX(Probabilitas!$C$16:$C$22,MATCH(E548,Probabilitas!$A$16:$A$22,0))*INDEX(Probabilitas!$C$27:$C$28,MATCH(F548,Probabilitas!$A$27:$A$28,0))</x:f>
        <x:v>0.0000043025662753556825</x:v>
      </x:c>
      <x:c r="I548" s="26" t="n">
        <x:f>Probabilitas!$C$5*INDEX(Probabilitas!$E$10:$E$11,MATCH(D548,Probabilitas!$A$10:$A$11,0))*INDEX(Probabilitas!$E$16:$E$22,MATCH(E548,Probabilitas!$A$16:$A$22,0))*INDEX(Probabilitas!$E$27:$E$28,MATCH(F548,Probabilitas!$A$27:$A$28,0))</x:f>
        <x:v>0.1384604635276108</x:v>
      </x:c>
      <x:c r="J548" s="26" t="n">
        <x:f>IFERROR(H548/(H548+I548),0)</x:f>
        <x:v>0.00003107336542523984</x:v>
      </x:c>
      <x:c r="K548" s="26" t="n">
        <x:f>IFERROR(I548/(H548+I548),0)</x:f>
        <x:v>0.9999689266345748</x:v>
      </x:c>
      <x:c r="L548" s="24" t="str">
        <x:f>IF(J548&gt;=K548,"Minat","Tidak minat")</x:f>
        <x:v>Tidak minat</x:v>
      </x:c>
      <x:c r="M548" s="24" t="str">
        <x:f>IF(L548=G548,"Sesuai label latih","Berbeda dari label latih")</x:f>
        <x:v>Sesuai label latih</x:v>
      </x:c>
    </x:row>
    <x:row r="549">
      <x:c r="A549" s="24" t="n">
        <x:v>548</x:v>
      </x:c>
      <x:c r="B549" s="24" t="str">
        <x:v>TSM4-L-077</x:v>
      </x:c>
      <x:c r="C549" s="24" t="str">
        <x:v>Siswa TSM4 L-077</x:v>
      </x:c>
      <x:c r="D549" s="24" t="str">
        <x:v>TSM / Teknik Sepeda Motor</x:v>
      </x:c>
      <x:c r="E549" s="24" t="str">
        <x:v>TSM 4</x:v>
      </x:c>
      <x:c r="F549" s="24" t="str">
        <x:v>Laki-laki</x:v>
      </x:c>
      <x:c r="G549" s="24" t="str">
        <x:v>Tidak minat</x:v>
      </x:c>
      <x:c r="H549" s="26" t="n">
        <x:f>Probabilitas!$C$4*INDEX(Probabilitas!$C$10:$C$11,MATCH(D549,Probabilitas!$A$10:$A$11,0))*INDEX(Probabilitas!$C$16:$C$22,MATCH(E549,Probabilitas!$A$16:$A$22,0))*INDEX(Probabilitas!$C$27:$C$28,MATCH(F549,Probabilitas!$A$27:$A$28,0))</x:f>
        <x:v>0.0000043025662753556825</x:v>
      </x:c>
      <x:c r="I549" s="26" t="n">
        <x:f>Probabilitas!$C$5*INDEX(Probabilitas!$E$10:$E$11,MATCH(D549,Probabilitas!$A$10:$A$11,0))*INDEX(Probabilitas!$E$16:$E$22,MATCH(E549,Probabilitas!$A$16:$A$22,0))*INDEX(Probabilitas!$E$27:$E$28,MATCH(F549,Probabilitas!$A$27:$A$28,0))</x:f>
        <x:v>0.1384604635276108</x:v>
      </x:c>
      <x:c r="J549" s="26" t="n">
        <x:f>IFERROR(H549/(H549+I549),0)</x:f>
        <x:v>0.00003107336542523984</x:v>
      </x:c>
      <x:c r="K549" s="26" t="n">
        <x:f>IFERROR(I549/(H549+I549),0)</x:f>
        <x:v>0.9999689266345748</x:v>
      </x:c>
      <x:c r="L549" s="24" t="str">
        <x:f>IF(J549&gt;=K549,"Minat","Tidak minat")</x:f>
        <x:v>Tidak minat</x:v>
      </x:c>
      <x:c r="M549" s="24" t="str">
        <x:f>IF(L549=G549,"Sesuai label latih","Berbeda dari label latih")</x:f>
        <x:v>Sesuai label latih</x:v>
      </x:c>
    </x:row>
    <x:row r="550">
      <x:c r="A550" s="24" t="n">
        <x:v>549</x:v>
      </x:c>
      <x:c r="B550" s="24" t="str">
        <x:v>TSM4-L-078</x:v>
      </x:c>
      <x:c r="C550" s="24" t="str">
        <x:v>Siswa TSM4 L-078</x:v>
      </x:c>
      <x:c r="D550" s="24" t="str">
        <x:v>TSM / Teknik Sepeda Motor</x:v>
      </x:c>
      <x:c r="E550" s="24" t="str">
        <x:v>TSM 4</x:v>
      </x:c>
      <x:c r="F550" s="24" t="str">
        <x:v>Laki-laki</x:v>
      </x:c>
      <x:c r="G550" s="24" t="str">
        <x:v>Tidak minat</x:v>
      </x:c>
      <x:c r="H550" s="26" t="n">
        <x:f>Probabilitas!$C$4*INDEX(Probabilitas!$C$10:$C$11,MATCH(D550,Probabilitas!$A$10:$A$11,0))*INDEX(Probabilitas!$C$16:$C$22,MATCH(E550,Probabilitas!$A$16:$A$22,0))*INDEX(Probabilitas!$C$27:$C$28,MATCH(F550,Probabilitas!$A$27:$A$28,0))</x:f>
        <x:v>0.0000043025662753556825</x:v>
      </x:c>
      <x:c r="I550" s="26" t="n">
        <x:f>Probabilitas!$C$5*INDEX(Probabilitas!$E$10:$E$11,MATCH(D550,Probabilitas!$A$10:$A$11,0))*INDEX(Probabilitas!$E$16:$E$22,MATCH(E550,Probabilitas!$A$16:$A$22,0))*INDEX(Probabilitas!$E$27:$E$28,MATCH(F550,Probabilitas!$A$27:$A$28,0))</x:f>
        <x:v>0.1384604635276108</x:v>
      </x:c>
      <x:c r="J550" s="26" t="n">
        <x:f>IFERROR(H550/(H550+I550),0)</x:f>
        <x:v>0.00003107336542523984</x:v>
      </x:c>
      <x:c r="K550" s="26" t="n">
        <x:f>IFERROR(I550/(H550+I550),0)</x:f>
        <x:v>0.9999689266345748</x:v>
      </x:c>
      <x:c r="L550" s="24" t="str">
        <x:f>IF(J550&gt;=K550,"Minat","Tidak minat")</x:f>
        <x:v>Tidak minat</x:v>
      </x:c>
      <x:c r="M550" s="24" t="str">
        <x:f>IF(L550=G550,"Sesuai label latih","Berbeda dari label latih")</x:f>
        <x:v>Sesuai label latih</x:v>
      </x:c>
    </x:row>
    <x:row r="551">
      <x:c r="A551" s="24" t="n">
        <x:v>550</x:v>
      </x:c>
      <x:c r="B551" s="24" t="str">
        <x:v>TSM4-L-079</x:v>
      </x:c>
      <x:c r="C551" s="24" t="str">
        <x:v>Siswa TSM4 L-079</x:v>
      </x:c>
      <x:c r="D551" s="24" t="str">
        <x:v>TSM / Teknik Sepeda Motor</x:v>
      </x:c>
      <x:c r="E551" s="24" t="str">
        <x:v>TSM 4</x:v>
      </x:c>
      <x:c r="F551" s="24" t="str">
        <x:v>Laki-laki</x:v>
      </x:c>
      <x:c r="G551" s="24" t="str">
        <x:v>Tidak minat</x:v>
      </x:c>
      <x:c r="H551" s="26" t="n">
        <x:f>Probabilitas!$C$4*INDEX(Probabilitas!$C$10:$C$11,MATCH(D551,Probabilitas!$A$10:$A$11,0))*INDEX(Probabilitas!$C$16:$C$22,MATCH(E551,Probabilitas!$A$16:$A$22,0))*INDEX(Probabilitas!$C$27:$C$28,MATCH(F551,Probabilitas!$A$27:$A$28,0))</x:f>
        <x:v>0.0000043025662753556825</x:v>
      </x:c>
      <x:c r="I551" s="26" t="n">
        <x:f>Probabilitas!$C$5*INDEX(Probabilitas!$E$10:$E$11,MATCH(D551,Probabilitas!$A$10:$A$11,0))*INDEX(Probabilitas!$E$16:$E$22,MATCH(E551,Probabilitas!$A$16:$A$22,0))*INDEX(Probabilitas!$E$27:$E$28,MATCH(F551,Probabilitas!$A$27:$A$28,0))</x:f>
        <x:v>0.1384604635276108</x:v>
      </x:c>
      <x:c r="J551" s="26" t="n">
        <x:f>IFERROR(H551/(H551+I551),0)</x:f>
        <x:v>0.00003107336542523984</x:v>
      </x:c>
      <x:c r="K551" s="26" t="n">
        <x:f>IFERROR(I551/(H551+I551),0)</x:f>
        <x:v>0.9999689266345748</x:v>
      </x:c>
      <x:c r="L551" s="24" t="str">
        <x:f>IF(J551&gt;=K551,"Minat","Tidak minat")</x:f>
        <x:v>Tidak minat</x:v>
      </x:c>
      <x:c r="M551" s="24" t="str">
        <x:f>IF(L551=G551,"Sesuai label latih","Berbeda dari label latih")</x:f>
        <x:v>Sesuai label latih</x:v>
      </x:c>
    </x:row>
    <x:row r="552">
      <x:c r="A552" s="24" t="n">
        <x:v>551</x:v>
      </x:c>
      <x:c r="B552" s="24" t="str">
        <x:v>TSM4-L-080</x:v>
      </x:c>
      <x:c r="C552" s="24" t="str">
        <x:v>Siswa TSM4 L-080</x:v>
      </x:c>
      <x:c r="D552" s="24" t="str">
        <x:v>TSM / Teknik Sepeda Motor</x:v>
      </x:c>
      <x:c r="E552" s="24" t="str">
        <x:v>TSM 4</x:v>
      </x:c>
      <x:c r="F552" s="24" t="str">
        <x:v>Laki-laki</x:v>
      </x:c>
      <x:c r="G552" s="24" t="str">
        <x:v>Tidak minat</x:v>
      </x:c>
      <x:c r="H552" s="26" t="n">
        <x:f>Probabilitas!$C$4*INDEX(Probabilitas!$C$10:$C$11,MATCH(D552,Probabilitas!$A$10:$A$11,0))*INDEX(Probabilitas!$C$16:$C$22,MATCH(E552,Probabilitas!$A$16:$A$22,0))*INDEX(Probabilitas!$C$27:$C$28,MATCH(F552,Probabilitas!$A$27:$A$28,0))</x:f>
        <x:v>0.0000043025662753556825</x:v>
      </x:c>
      <x:c r="I552" s="26" t="n">
        <x:f>Probabilitas!$C$5*INDEX(Probabilitas!$E$10:$E$11,MATCH(D552,Probabilitas!$A$10:$A$11,0))*INDEX(Probabilitas!$E$16:$E$22,MATCH(E552,Probabilitas!$A$16:$A$22,0))*INDEX(Probabilitas!$E$27:$E$28,MATCH(F552,Probabilitas!$A$27:$A$28,0))</x:f>
        <x:v>0.1384604635276108</x:v>
      </x:c>
      <x:c r="J552" s="26" t="n">
        <x:f>IFERROR(H552/(H552+I552),0)</x:f>
        <x:v>0.00003107336542523984</x:v>
      </x:c>
      <x:c r="K552" s="26" t="n">
        <x:f>IFERROR(I552/(H552+I552),0)</x:f>
        <x:v>0.9999689266345748</x:v>
      </x:c>
      <x:c r="L552" s="24" t="str">
        <x:f>IF(J552&gt;=K552,"Minat","Tidak minat")</x:f>
        <x:v>Tidak minat</x:v>
      </x:c>
      <x:c r="M552" s="24" t="str">
        <x:f>IF(L552=G552,"Sesuai label latih","Berbeda dari label latih")</x:f>
        <x:v>Sesuai label latih</x:v>
      </x:c>
    </x:row>
    <x:row r="553">
      <x:c r="A553" s="24" t="n">
        <x:v>552</x:v>
      </x:c>
      <x:c r="B553" s="24" t="str">
        <x:v>TSM4-L-081</x:v>
      </x:c>
      <x:c r="C553" s="24" t="str">
        <x:v>Siswa TSM4 L-081</x:v>
      </x:c>
      <x:c r="D553" s="24" t="str">
        <x:v>TSM / Teknik Sepeda Motor</x:v>
      </x:c>
      <x:c r="E553" s="24" t="str">
        <x:v>TSM 4</x:v>
      </x:c>
      <x:c r="F553" s="24" t="str">
        <x:v>Laki-laki</x:v>
      </x:c>
      <x:c r="G553" s="24" t="str">
        <x:v>Tidak minat</x:v>
      </x:c>
      <x:c r="H553" s="26" t="n">
        <x:f>Probabilitas!$C$4*INDEX(Probabilitas!$C$10:$C$11,MATCH(D553,Probabilitas!$A$10:$A$11,0))*INDEX(Probabilitas!$C$16:$C$22,MATCH(E553,Probabilitas!$A$16:$A$22,0))*INDEX(Probabilitas!$C$27:$C$28,MATCH(F553,Probabilitas!$A$27:$A$28,0))</x:f>
        <x:v>0.0000043025662753556825</x:v>
      </x:c>
      <x:c r="I553" s="26" t="n">
        <x:f>Probabilitas!$C$5*INDEX(Probabilitas!$E$10:$E$11,MATCH(D553,Probabilitas!$A$10:$A$11,0))*INDEX(Probabilitas!$E$16:$E$22,MATCH(E553,Probabilitas!$A$16:$A$22,0))*INDEX(Probabilitas!$E$27:$E$28,MATCH(F553,Probabilitas!$A$27:$A$28,0))</x:f>
        <x:v>0.1384604635276108</x:v>
      </x:c>
      <x:c r="J553" s="26" t="n">
        <x:f>IFERROR(H553/(H553+I553),0)</x:f>
        <x:v>0.00003107336542523984</x:v>
      </x:c>
      <x:c r="K553" s="26" t="n">
        <x:f>IFERROR(I553/(H553+I553),0)</x:f>
        <x:v>0.9999689266345748</x:v>
      </x:c>
      <x:c r="L553" s="24" t="str">
        <x:f>IF(J553&gt;=K553,"Minat","Tidak minat")</x:f>
        <x:v>Tidak minat</x:v>
      </x:c>
      <x:c r="M553" s="24" t="str">
        <x:f>IF(L553=G553,"Sesuai label latih","Berbeda dari label latih")</x:f>
        <x:v>Sesuai label latih</x:v>
      </x:c>
    </x:row>
    <x:row r="554">
      <x:c r="A554" s="24" t="n">
        <x:v>553</x:v>
      </x:c>
      <x:c r="B554" s="24" t="str">
        <x:v>TSM4-L-082</x:v>
      </x:c>
      <x:c r="C554" s="24" t="str">
        <x:v>Siswa TSM4 L-082</x:v>
      </x:c>
      <x:c r="D554" s="24" t="str">
        <x:v>TSM / Teknik Sepeda Motor</x:v>
      </x:c>
      <x:c r="E554" s="24" t="str">
        <x:v>TSM 4</x:v>
      </x:c>
      <x:c r="F554" s="24" t="str">
        <x:v>Laki-laki</x:v>
      </x:c>
      <x:c r="G554" s="24" t="str">
        <x:v>Tidak minat</x:v>
      </x:c>
      <x:c r="H554" s="26" t="n">
        <x:f>Probabilitas!$C$4*INDEX(Probabilitas!$C$10:$C$11,MATCH(D554,Probabilitas!$A$10:$A$11,0))*INDEX(Probabilitas!$C$16:$C$22,MATCH(E554,Probabilitas!$A$16:$A$22,0))*INDEX(Probabilitas!$C$27:$C$28,MATCH(F554,Probabilitas!$A$27:$A$28,0))</x:f>
        <x:v>0.0000043025662753556825</x:v>
      </x:c>
      <x:c r="I554" s="26" t="n">
        <x:f>Probabilitas!$C$5*INDEX(Probabilitas!$E$10:$E$11,MATCH(D554,Probabilitas!$A$10:$A$11,0))*INDEX(Probabilitas!$E$16:$E$22,MATCH(E554,Probabilitas!$A$16:$A$22,0))*INDEX(Probabilitas!$E$27:$E$28,MATCH(F554,Probabilitas!$A$27:$A$28,0))</x:f>
        <x:v>0.1384604635276108</x:v>
      </x:c>
      <x:c r="J554" s="26" t="n">
        <x:f>IFERROR(H554/(H554+I554),0)</x:f>
        <x:v>0.00003107336542523984</x:v>
      </x:c>
      <x:c r="K554" s="26" t="n">
        <x:f>IFERROR(I554/(H554+I554),0)</x:f>
        <x:v>0.9999689266345748</x:v>
      </x:c>
      <x:c r="L554" s="24" t="str">
        <x:f>IF(J554&gt;=K554,"Minat","Tidak minat")</x:f>
        <x:v>Tidak minat</x:v>
      </x:c>
      <x:c r="M554" s="24" t="str">
        <x:f>IF(L554=G554,"Sesuai label latih","Berbeda dari label latih")</x:f>
        <x:v>Sesuai label latih</x:v>
      </x:c>
    </x:row>
    <x:row r="555">
      <x:c r="A555" s="24" t="n">
        <x:v>554</x:v>
      </x:c>
      <x:c r="B555" s="24" t="str">
        <x:v>TSM4-L-083</x:v>
      </x:c>
      <x:c r="C555" s="24" t="str">
        <x:v>Siswa TSM4 L-083</x:v>
      </x:c>
      <x:c r="D555" s="24" t="str">
        <x:v>TSM / Teknik Sepeda Motor</x:v>
      </x:c>
      <x:c r="E555" s="24" t="str">
        <x:v>TSM 4</x:v>
      </x:c>
      <x:c r="F555" s="24" t="str">
        <x:v>Laki-laki</x:v>
      </x:c>
      <x:c r="G555" s="24" t="str">
        <x:v>Tidak minat</x:v>
      </x:c>
      <x:c r="H555" s="26" t="n">
        <x:f>Probabilitas!$C$4*INDEX(Probabilitas!$C$10:$C$11,MATCH(D555,Probabilitas!$A$10:$A$11,0))*INDEX(Probabilitas!$C$16:$C$22,MATCH(E555,Probabilitas!$A$16:$A$22,0))*INDEX(Probabilitas!$C$27:$C$28,MATCH(F555,Probabilitas!$A$27:$A$28,0))</x:f>
        <x:v>0.0000043025662753556825</x:v>
      </x:c>
      <x:c r="I555" s="26" t="n">
        <x:f>Probabilitas!$C$5*INDEX(Probabilitas!$E$10:$E$11,MATCH(D555,Probabilitas!$A$10:$A$11,0))*INDEX(Probabilitas!$E$16:$E$22,MATCH(E555,Probabilitas!$A$16:$A$22,0))*INDEX(Probabilitas!$E$27:$E$28,MATCH(F555,Probabilitas!$A$27:$A$28,0))</x:f>
        <x:v>0.1384604635276108</x:v>
      </x:c>
      <x:c r="J555" s="26" t="n">
        <x:f>IFERROR(H555/(H555+I555),0)</x:f>
        <x:v>0.00003107336542523984</x:v>
      </x:c>
      <x:c r="K555" s="26" t="n">
        <x:f>IFERROR(I555/(H555+I555),0)</x:f>
        <x:v>0.9999689266345748</x:v>
      </x:c>
      <x:c r="L555" s="24" t="str">
        <x:f>IF(J555&gt;=K555,"Minat","Tidak minat")</x:f>
        <x:v>Tidak minat</x:v>
      </x:c>
      <x:c r="M555" s="24" t="str">
        <x:f>IF(L555=G555,"Sesuai label latih","Berbeda dari label latih")</x:f>
        <x:v>Sesuai label latih</x:v>
      </x:c>
    </x:row>
    <x:row r="556">
      <x:c r="A556" s="24" t="n">
        <x:v>555</x:v>
      </x:c>
      <x:c r="B556" s="24" t="str">
        <x:v>TSM4-P-001</x:v>
      </x:c>
      <x:c r="C556" s="24" t="str">
        <x:v>Siswa TSM4 P-001</x:v>
      </x:c>
      <x:c r="D556" s="24" t="str">
        <x:v>TSM / Teknik Sepeda Motor</x:v>
      </x:c>
      <x:c r="E556" s="24" t="str">
        <x:v>TSM 4</x:v>
      </x:c>
      <x:c r="F556" s="24" t="str">
        <x:v>Perempuan</x:v>
      </x:c>
      <x:c r="G556" s="24" t="str">
        <x:v>Tidak minat</x:v>
      </x:c>
      <x:c r="H556" s="26" t="n">
        <x:f>Probabilitas!$C$4*INDEX(Probabilitas!$C$10:$C$11,MATCH(D556,Probabilitas!$A$10:$A$11,0))*INDEX(Probabilitas!$C$16:$C$22,MATCH(E556,Probabilitas!$A$16:$A$22,0))*INDEX(Probabilitas!$C$27:$C$28,MATCH(F556,Probabilitas!$A$27:$A$28,0))</x:f>
        <x:v>0.000004178453786643499</x:v>
      </x:c>
      <x:c r="I556" s="26" t="n">
        <x:f>Probabilitas!$C$5*INDEX(Probabilitas!$E$10:$E$11,MATCH(D556,Probabilitas!$A$10:$A$11,0))*INDEX(Probabilitas!$E$16:$E$22,MATCH(E556,Probabilitas!$A$16:$A$22,0))*INDEX(Probabilitas!$E$27:$E$28,MATCH(F556,Probabilitas!$A$27:$A$28,0))</x:f>
        <x:v>0.012780965864087149</x:v>
      </x:c>
      <x:c r="J556" s="26" t="n">
        <x:f>IFERROR(H556/(H556+I556),0)</x:f>
        <x:v>0.0003268210106007148</x:v>
      </x:c>
      <x:c r="K556" s="26" t="n">
        <x:f>IFERROR(I556/(H556+I556),0)</x:f>
        <x:v>0.9996731789893992</x:v>
      </x:c>
      <x:c r="L556" s="24" t="str">
        <x:f>IF(J556&gt;=K556,"Minat","Tidak minat")</x:f>
        <x:v>Tidak minat</x:v>
      </x:c>
      <x:c r="M556" s="24" t="str">
        <x:f>IF(L556=G556,"Sesuai label latih","Berbeda dari label latih")</x:f>
        <x:v>Sesuai label latih</x:v>
      </x:c>
    </x:row>
    <x:row r="557">
      <x:c r="A557" s="24" t="n">
        <x:v>556</x:v>
      </x:c>
      <x:c r="B557" s="24" t="str">
        <x:v>TSM4-P-002</x:v>
      </x:c>
      <x:c r="C557" s="24" t="str">
        <x:v>Siswa TSM4 P-002</x:v>
      </x:c>
      <x:c r="D557" s="24" t="str">
        <x:v>TSM / Teknik Sepeda Motor</x:v>
      </x:c>
      <x:c r="E557" s="24" t="str">
        <x:v>TSM 4</x:v>
      </x:c>
      <x:c r="F557" s="24" t="str">
        <x:v>Perempuan</x:v>
      </x:c>
      <x:c r="G557" s="24" t="str">
        <x:v>Tidak minat</x:v>
      </x:c>
      <x:c r="H557" s="26" t="n">
        <x:f>Probabilitas!$C$4*INDEX(Probabilitas!$C$10:$C$11,MATCH(D557,Probabilitas!$A$10:$A$11,0))*INDEX(Probabilitas!$C$16:$C$22,MATCH(E557,Probabilitas!$A$16:$A$22,0))*INDEX(Probabilitas!$C$27:$C$28,MATCH(F557,Probabilitas!$A$27:$A$28,0))</x:f>
        <x:v>0.000004178453786643499</x:v>
      </x:c>
      <x:c r="I557" s="26" t="n">
        <x:f>Probabilitas!$C$5*INDEX(Probabilitas!$E$10:$E$11,MATCH(D557,Probabilitas!$A$10:$A$11,0))*INDEX(Probabilitas!$E$16:$E$22,MATCH(E557,Probabilitas!$A$16:$A$22,0))*INDEX(Probabilitas!$E$27:$E$28,MATCH(F557,Probabilitas!$A$27:$A$28,0))</x:f>
        <x:v>0.012780965864087149</x:v>
      </x:c>
      <x:c r="J557" s="26" t="n">
        <x:f>IFERROR(H557/(H557+I557),0)</x:f>
        <x:v>0.0003268210106007148</x:v>
      </x:c>
      <x:c r="K557" s="26" t="n">
        <x:f>IFERROR(I557/(H557+I557),0)</x:f>
        <x:v>0.9996731789893992</x:v>
      </x:c>
      <x:c r="L557" s="24" t="str">
        <x:f>IF(J557&gt;=K557,"Minat","Tidak minat")</x:f>
        <x:v>Tidak minat</x:v>
      </x:c>
      <x:c r="M557" s="24" t="str">
        <x:f>IF(L557=G557,"Sesuai label latih","Berbeda dari label latih")</x:f>
        <x:v>Sesuai label latih</x:v>
      </x:c>
    </x:row>
  </x:sheetData>
  <x:conditionalFormatting sqref="L2:L557">
    <x:cfRule type="expression" dxfId="0" priority="1">
      <x:formula>L2="Minat"</x:formula>
    </x:cfRule>
    <x:cfRule type="expression" dxfId="1" priority="2">
      <x:formula>L2="Tidak minat"</x:formula>
    </x:cfRule>
  </x:conditionalFormatting>
  <x:conditionalFormatting sqref="M2:M557">
    <x:cfRule type="expression" dxfId="2" priority="3">
      <x:formula>M2="Berbeda dari label latih"</x:formula>
    </x:cfRule>
  </x:conditionalFormatting>
  <x:dataValidations count="1">
    <x:dataValidation type="list" sqref="G2:G557">
      <x:formula1>"Minat,Tidak minat"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ab6a3e37ad45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</x:cols>
  <x:sheetData>
    <x:row r="1">
      <x:c r="A1" s="6" t="str">
        <x:v>PERHITUNGAN MANUAL NAIVE BAYES - PEMINATAN PERGURUAN TINGGI</x:v>
      </x:c>
      <x:c r="B1" s="6"/>
      <x:c r="C1" s="6"/>
      <x:c r="D1" s="6"/>
      <x:c r="E1" s="6"/>
    </x:row>
    <x:row r="2">
      <x:c r="A2" t="str">
        <x:v>Menggunakan Laplace Smoothing (+1) agar probabilitas tidak nol.</x:v>
      </x:c>
      <x:c r="B2"/>
      <x:c r="C2"/>
      <x:c r="D2"/>
      <x:c r="E2"/>
    </x:row>
    <x:row r="3">
      <x:c r="A3" s="6" t="str">
        <x:v>Kelas</x:v>
      </x:c>
      <x:c r="B3" s="6" t="str">
        <x:v>Jumlah</x:v>
      </x:c>
      <x:c r="C3" s="6" t="str">
        <x:v>Prior P(C)</x:v>
      </x:c>
    </x:row>
    <x:row r="4">
      <x:c r="A4" t="str">
        <x:v>Minat</x:v>
      </x:c>
      <x:c r="B4" t="n">
        <x:f>COUNTIF(Data_Siswa!$G$2:$G$557,A4)</x:f>
        <x:v>203</x:v>
      </x:c>
      <x:c r="C4" s="20" t="n">
        <x:f>B4/SUM($B$4:$B$5)</x:f>
        <x:v>0.36510791366906475</x:v>
      </x:c>
    </x:row>
    <x:row r="5">
      <x:c r="A5" t="str">
        <x:v>Tidak minat</x:v>
      </x:c>
      <x:c r="B5" t="n">
        <x:f>COUNTIF(Data_Siswa!$G$2:$G$557,A5)</x:f>
        <x:v>353</x:v>
      </x:c>
      <x:c r="C5" s="20" t="n">
        <x:f>B5/SUM($B$4:$B$5)</x:f>
        <x:v>0.6348920863309353</x:v>
      </x:c>
    </x:row>
    <x:row r="8">
      <x:c r="A8" s="14" t="str">
        <x:v>LIKELIHOOD FITUR: JURUSAN</x:v>
      </x:c>
      <x:c r="B8" s="14"/>
      <x:c r="C8" s="14"/>
      <x:c r="D8" s="14"/>
      <x:c r="E8" s="14"/>
    </x:row>
    <x:row r="9">
      <x:c r="A9" s="6" t="str">
        <x:v>Kategori</x:v>
      </x:c>
      <x:c r="B9" s="6" t="str">
        <x:v>Count Minat</x:v>
      </x:c>
      <x:c r="C9" s="6" t="str">
        <x:v>P(X|Minat)</x:v>
      </x:c>
      <x:c r="D9" s="6" t="str">
        <x:v>Count Tidak minat</x:v>
      </x:c>
      <x:c r="E9" s="6" t="str">
        <x:v>P(X|Tidak minat)</x:v>
      </x:c>
    </x:row>
    <x:row r="10">
      <x:c r="A10" t="str">
        <x:v>MP / Manajemen Perkantoran</x:v>
      </x:c>
      <x:c r="B10" t="n">
        <x:f>COUNTIFS(Data_Siswa!$D$2:$D$557,$A10,Data_Siswa!$G$2:$G$557,"Minat")</x:f>
        <x:v>203</x:v>
      </x:c>
      <x:c r="C10" s="22" t="n">
        <x:f>(B10+1)/($B$4+COUNTA($A$10:$A$11))</x:f>
        <x:v>0.9951219512195122</x:v>
      </x:c>
      <x:c r="D10" t="n">
        <x:f>COUNTIFS(Data_Siswa!$D$2:$D$557,$A10,Data_Siswa!$G$2:$G$557,"Tidak minat")</x:f>
        <x:v>0</x:v>
      </x:c>
      <x:c r="E10" s="22" t="n">
        <x:f>(D10+1)/($B$5+COUNTA($A$10:$A$11))</x:f>
        <x:v>0.0028169014084507044</x:v>
      </x:c>
    </x:row>
    <x:row r="11">
      <x:c r="A11" t="str">
        <x:v>TSM / Teknik Sepeda Motor</x:v>
      </x:c>
      <x:c r="B11" t="n">
        <x:f>COUNTIFS(Data_Siswa!$D$2:$D$557,$A11,Data_Siswa!$G$2:$G$557,"Minat")</x:f>
        <x:v>0</x:v>
      </x:c>
      <x:c r="C11" s="22" t="n">
        <x:f>(B11+1)/($B$4+COUNTA($A$10:$A$11))</x:f>
        <x:v>0.004878048780487805</x:v>
      </x:c>
      <x:c r="D11" t="n">
        <x:f>COUNTIFS(Data_Siswa!$D$2:$D$557,$A11,Data_Siswa!$G$2:$G$557,"Tidak minat")</x:f>
        <x:v>353</x:v>
      </x:c>
      <x:c r="E11" s="22" t="n">
        <x:f>(D11+1)/($B$5+COUNTA($A$10:$A$11))</x:f>
        <x:v>0.9971830985915493</x:v>
      </x:c>
    </x:row>
    <x:row r="14">
      <x:c r="A14" s="14" t="str">
        <x:v>LIKELIHOOD FITUR: ROMBEL</x:v>
      </x:c>
      <x:c r="B14" s="14"/>
      <x:c r="C14" s="14"/>
      <x:c r="D14" s="14"/>
      <x:c r="E14" s="14"/>
    </x:row>
    <x:row r="15">
      <x:c r="A15" s="6" t="str">
        <x:v>Kategori</x:v>
      </x:c>
      <x:c r="B15" s="6" t="str">
        <x:v>Count Minat</x:v>
      </x:c>
      <x:c r="C15" s="6" t="str">
        <x:v>P(X|Minat)</x:v>
      </x:c>
      <x:c r="D15" s="6" t="str">
        <x:v>Count Tidak minat</x:v>
      </x:c>
      <x:c r="E15" s="6" t="str">
        <x:v>P(X|Tidak minat)</x:v>
      </x:c>
    </x:row>
    <x:row r="16">
      <x:c r="A16" t="str">
        <x:v>MP 1</x:v>
      </x:c>
      <x:c r="B16" t="n">
        <x:f>COUNTIFS(Data_Siswa!$E$2:$E$557,$A16,Data_Siswa!$G$2:$G$557,"Minat")</x:f>
        <x:v>67</x:v>
      </x:c>
      <x:c r="C16" s="22" t="n">
        <x:f>(B16+1)/($B$4+COUNTA($A$16:$A$22))</x:f>
        <x:v>0.3238095238095238</x:v>
      </x:c>
      <x:c r="D16" t="n">
        <x:f>COUNTIFS(Data_Siswa!$E$2:$E$557,$A16,Data_Siswa!$G$2:$G$557,"Tidak minat")</x:f>
        <x:v>0</x:v>
      </x:c>
      <x:c r="E16" s="22" t="n">
        <x:f>(D16+1)/($B$5+COUNTA($A$16:$A$22))</x:f>
        <x:v>0.002777777777777778</x:v>
      </x:c>
    </x:row>
    <x:row r="17">
      <x:c r="A17" t="str">
        <x:v>MP 2</x:v>
      </x:c>
      <x:c r="B17" t="n">
        <x:f>COUNTIFS(Data_Siswa!$E$2:$E$557,$A17,Data_Siswa!$G$2:$G$557,"Minat")</x:f>
        <x:v>60</x:v>
      </x:c>
      <x:c r="C17" s="22" t="n">
        <x:f>(B17+1)/($B$4+COUNTA($A$16:$A$22))</x:f>
        <x:v>0.2904761904761905</x:v>
      </x:c>
      <x:c r="D17" t="n">
        <x:f>COUNTIFS(Data_Siswa!$E$2:$E$557,$A17,Data_Siswa!$G$2:$G$557,"Tidak minat")</x:f>
        <x:v>0</x:v>
      </x:c>
      <x:c r="E17" s="22" t="n">
        <x:f>(D17+1)/($B$5+COUNTA($A$16:$A$22))</x:f>
        <x:v>0.002777777777777778</x:v>
      </x:c>
    </x:row>
    <x:row r="18">
      <x:c r="A18" t="str">
        <x:v>MP 3</x:v>
      </x:c>
      <x:c r="B18" t="n">
        <x:f>COUNTIFS(Data_Siswa!$E$2:$E$557,$A18,Data_Siswa!$G$2:$G$557,"Minat")</x:f>
        <x:v>76</x:v>
      </x:c>
      <x:c r="C18" s="22" t="n">
        <x:f>(B18+1)/($B$4+COUNTA($A$16:$A$22))</x:f>
        <x:v>0.36666666666666664</x:v>
      </x:c>
      <x:c r="D18" t="n">
        <x:f>COUNTIFS(Data_Siswa!$E$2:$E$557,$A18,Data_Siswa!$G$2:$G$557,"Tidak minat")</x:f>
        <x:v>0</x:v>
      </x:c>
      <x:c r="E18" s="22" t="n">
        <x:f>(D18+1)/($B$5+COUNTA($A$16:$A$22))</x:f>
        <x:v>0.002777777777777778</x:v>
      </x:c>
    </x:row>
    <x:row r="19">
      <x:c r="A19" t="str">
        <x:v>TSM 1</x:v>
      </x:c>
      <x:c r="B19" t="n">
        <x:f>COUNTIFS(Data_Siswa!$E$2:$E$557,$A19,Data_Siswa!$G$2:$G$557,"Minat")</x:f>
        <x:v>0</x:v>
      </x:c>
      <x:c r="C19" s="22" t="n">
        <x:f>(B19+1)/($B$4+COUNTA($A$16:$A$22))</x:f>
        <x:v>0.004761904761904762</x:v>
      </x:c>
      <x:c r="D19" t="n">
        <x:f>COUNTIFS(Data_Siswa!$E$2:$E$557,$A19,Data_Siswa!$G$2:$G$557,"Tidak minat")</x:f>
        <x:v>92</x:v>
      </x:c>
      <x:c r="E19" s="22" t="n">
        <x:f>(D19+1)/($B$5+COUNTA($A$16:$A$22))</x:f>
        <x:v>0.25833333333333336</x:v>
      </x:c>
    </x:row>
    <x:row r="20">
      <x:c r="A20" t="str">
        <x:v>TSM 2</x:v>
      </x:c>
      <x:c r="B20" t="n">
        <x:f>COUNTIFS(Data_Siswa!$E$2:$E$557,$A20,Data_Siswa!$G$2:$G$557,"Minat")</x:f>
        <x:v>0</x:v>
      </x:c>
      <x:c r="C20" s="22" t="n">
        <x:f>(B20+1)/($B$4+COUNTA($A$16:$A$22))</x:f>
        <x:v>0.004761904761904762</x:v>
      </x:c>
      <x:c r="D20" t="n">
        <x:f>COUNTIFS(Data_Siswa!$E$2:$E$557,$A20,Data_Siswa!$G$2:$G$557,"Tidak minat")</x:f>
        <x:v>90</x:v>
      </x:c>
      <x:c r="E20" s="22" t="n">
        <x:f>(D20+1)/($B$5+COUNTA($A$16:$A$22))</x:f>
        <x:v>0.25277777777777777</x:v>
      </x:c>
    </x:row>
    <x:row r="21">
      <x:c r="A21" t="str">
        <x:v>TSM 3</x:v>
      </x:c>
      <x:c r="B21" t="n">
        <x:f>COUNTIFS(Data_Siswa!$E$2:$E$557,$A21,Data_Siswa!$G$2:$G$557,"Minat")</x:f>
        <x:v>0</x:v>
      </x:c>
      <x:c r="C21" s="22" t="n">
        <x:f>(B21+1)/($B$4+COUNTA($A$16:$A$22))</x:f>
        <x:v>0.004761904761904762</x:v>
      </x:c>
      <x:c r="D21" t="n">
        <x:f>COUNTIFS(Data_Siswa!$E$2:$E$557,$A21,Data_Siswa!$G$2:$G$557,"Tidak minat")</x:f>
        <x:v>86</x:v>
      </x:c>
      <x:c r="E21" s="22" t="n">
        <x:f>(D21+1)/($B$5+COUNTA($A$16:$A$22))</x:f>
        <x:v>0.24166666666666667</x:v>
      </x:c>
    </x:row>
    <x:row r="22">
      <x:c r="A22" t="str">
        <x:v>TSM 4</x:v>
      </x:c>
      <x:c r="B22" t="n">
        <x:f>COUNTIFS(Data_Siswa!$E$2:$E$557,$A22,Data_Siswa!$G$2:$G$557,"Minat")</x:f>
        <x:v>0</x:v>
      </x:c>
      <x:c r="C22" s="22" t="n">
        <x:f>(B22+1)/($B$4+COUNTA($A$16:$A$22))</x:f>
        <x:v>0.004761904761904762</x:v>
      </x:c>
      <x:c r="D22" t="n">
        <x:f>COUNTIFS(Data_Siswa!$E$2:$E$557,$A22,Data_Siswa!$G$2:$G$557,"Tidak minat")</x:f>
        <x:v>85</x:v>
      </x:c>
      <x:c r="E22" s="22" t="n">
        <x:f>(D22+1)/($B$5+COUNTA($A$16:$A$22))</x:f>
        <x:v>0.2388888888888889</x:v>
      </x:c>
    </x:row>
    <x:row r="25">
      <x:c r="A25" s="14" t="str">
        <x:v>LIKELIHOOD FITUR: JENIS KELAMIN</x:v>
      </x:c>
      <x:c r="B25" s="14"/>
      <x:c r="C25" s="14"/>
      <x:c r="D25" s="14"/>
      <x:c r="E25" s="14"/>
    </x:row>
    <x:row r="26">
      <x:c r="A26" s="6" t="str">
        <x:v>Kategori</x:v>
      </x:c>
      <x:c r="B26" s="6" t="str">
        <x:v>Count Minat</x:v>
      </x:c>
      <x:c r="C26" s="6" t="str">
        <x:v>P(X|Minat)</x:v>
      </x:c>
      <x:c r="D26" s="6" t="str">
        <x:v>Count Tidak minat</x:v>
      </x:c>
      <x:c r="E26" s="6" t="str">
        <x:v>P(X|Tidak minat)</x:v>
      </x:c>
    </x:row>
    <x:row r="27">
      <x:c r="A27" t="str">
        <x:v>Laki-laki</x:v>
      </x:c>
      <x:c r="B27" t="n">
        <x:f>COUNTIFS(Data_Siswa!$F$2:$F$557,$A27,Data_Siswa!$G$2:$G$557,"Minat")</x:f>
        <x:v>103</x:v>
      </x:c>
      <x:c r="C27" s="22" t="n">
        <x:f>(B27+1)/($B$4+COUNTA($A$27:$A$28))</x:f>
        <x:v>0.5073170731707317</x:v>
      </x:c>
      <x:c r="D27" t="n">
        <x:f>COUNTIFS(Data_Siswa!$F$2:$F$557,$A27,Data_Siswa!$G$2:$G$557,"Tidak minat")</x:f>
        <x:v>324</x:v>
      </x:c>
      <x:c r="E27" s="22" t="n">
        <x:f>(D27+1)/($B$5+COUNTA($A$27:$A$28))</x:f>
        <x:v>0.9154929577464789</x:v>
      </x:c>
    </x:row>
    <x:row r="28">
      <x:c r="A28" t="str">
        <x:v>Perempuan</x:v>
      </x:c>
      <x:c r="B28" t="n">
        <x:f>COUNTIFS(Data_Siswa!$F$2:$F$557,$A28,Data_Siswa!$G$2:$G$557,"Minat")</x:f>
        <x:v>100</x:v>
      </x:c>
      <x:c r="C28" s="22" t="n">
        <x:f>(B28+1)/($B$4+COUNTA($A$27:$A$28))</x:f>
        <x:v>0.4926829268292683</x:v>
      </x:c>
      <x:c r="D28" t="n">
        <x:f>COUNTIFS(Data_Siswa!$F$2:$F$557,$A28,Data_Siswa!$G$2:$G$557,"Tidak minat")</x:f>
        <x:v>29</x:v>
      </x:c>
      <x:c r="E28" s="22" t="n">
        <x:f>(D28+1)/($B$5+COUNTA($A$27:$A$28))</x:f>
        <x:v>0.08450704225352113</x:v>
      </x:c>
    </x:row>
  </x:sheetData>
  <x:mergeCells>
    <x:mergeCell ref="A1:E1"/>
    <x:mergeCell ref="A2:E2"/>
    <x:mergeCell ref="A8:E8"/>
    <x:mergeCell ref="A14:E14"/>
    <x:mergeCell ref="A25:E25"/>
  </x:mergeCells>
  <x:pageMargins left="0.7" right="0.7" top="0.75" bottom="0.75" header="0.3" footer="0.3"/>
  <x:tableParts count="4">
    <x:tablePart xmlns:r="http://schemas.openxmlformats.org/officeDocument/2006/relationships" r:id="Re1bbff6199f44cc1"/>
    <x:tablePart xmlns:r="http://schemas.openxmlformats.org/officeDocument/2006/relationships" r:id="Rd9a5787d28c24b91"/>
    <x:tablePart xmlns:r="http://schemas.openxmlformats.org/officeDocument/2006/relationships" r:id="R85582e817f8842f6"/>
    <x:tablePart xmlns:r="http://schemas.openxmlformats.org/officeDocument/2006/relationships" r:id="Rd8f78581e39f4d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" hidden="0" customWidth="1"/>
    <x:col min="4" max="4" width="28" hidden="0" customWidth="1"/>
    <x:col min="5" max="5" width="54" hidden="0" customWidth="1"/>
  </x:cols>
  <x:sheetData>
    <x:row r="1">
      <x:c r="A1" s="6" t="str">
        <x:v>PREDIKSI SATU DATA SISWA - NAIVE BAYES</x:v>
      </x:c>
      <x:c r="B1" s="6"/>
      <x:c r="C1" s="6"/>
      <x:c r="D1" s="6"/>
      <x:c r="E1" s="6"/>
    </x:row>
    <x:row r="3">
      <x:c r="A3" t="str">
        <x:v>Jurusan</x:v>
      </x:c>
      <x:c r="B3" t="str">
        <x:v>MP / Manajemen Perkantoran</x:v>
      </x:c>
      <x:c r="D3" s="24" t="str">
        <x:v>Petunjuk</x:v>
      </x:c>
      <x:c r="E3" s="24"/>
    </x:row>
    <x:row r="4">
      <x:c r="A4" t="str">
        <x:v>Rombel</x:v>
      </x:c>
      <x:c r="B4" t="str">
        <x:v>MP 1</x:v>
      </x:c>
      <x:c r="D4" s="24" t="str">
        <x:v>1. Pilih jurusan, rombel, dan jenis kelamin.</x:v>
      </x:c>
      <x:c r="E4" s="24"/>
    </x:row>
    <x:row r="5">
      <x:c r="A5" t="str">
        <x:v>Jenis Kelamin</x:v>
      </x:c>
      <x:c r="B5" t="str">
        <x:v>Laki-laki</x:v>
      </x:c>
      <x:c r="D5" s="24" t="str">
        <x:v>2. Keputusan otomatis dihitung dari probabilitas tertinggi.</x:v>
      </x:c>
      <x:c r="E5" s="24"/>
    </x:row>
    <x:row r="6">
      <x:c r="D6" s="24" t="str">
        <x:v>3. Ubah label aktual di Data_Siswa untuk memakai data survei sebenarnya.</x:v>
      </x:c>
      <x:c r="E6" s="24"/>
    </x:row>
    <x:row r="7">
      <x:c r="A7" s="6" t="str">
        <x:v>Kelas</x:v>
      </x:c>
      <x:c r="B7" s="6" t="str">
        <x:v>Nilai</x:v>
      </x:c>
      <x:c r="D7" s="24" t="str">
        <x:v>4. Semua rumus memakai Laplace Smoothing (+1).</x:v>
      </x:c>
      <x:c r="E7" s="24"/>
    </x:row>
    <x:row r="8">
      <x:c r="A8" t="str">
        <x:v>Skor NB Minat</x:v>
      </x:c>
      <x:c r="B8" s="18" t="n">
        <x:f>Probabilitas!$C$4*INDEX(Probabilitas!$C$10:$C$11,MATCH(B3,Probabilitas!$A$10:$A$11,0))*INDEX(Probabilitas!$C$16:$C$22,MATCH(B4,Probabilitas!$A$16:$A$22,0))*INDEX(Probabilitas!$C$27:$C$28,MATCH(B5,Probabilitas!$A$27:$A$28,0))</x:f>
        <x:v>0.05968519937173402</x:v>
      </x:c>
      <x:c r="D8" s="24" t="str">
        <x:v>Catatan</x:v>
      </x:c>
      <x:c r="E8" s="24" t="str">
        <x:v>Hasil ini untuk contoh akademik, bukan keputusan final tanpa data minat aktual.</x:v>
      </x:c>
    </x:row>
    <x:row r="9">
      <x:c r="A9" t="str">
        <x:v>Skor NB Tidak minat</x:v>
      </x:c>
      <x:c r="B9" s="18" t="n">
        <x:f>Probabilitas!$C$5*INDEX(Probabilitas!$E$10:$E$11,MATCH(B3,Probabilitas!$A$10:$A$11,0))*INDEX(Probabilitas!$E$16:$E$22,MATCH(B4,Probabilitas!$A$16:$A$22,0))*INDEX(Probabilitas!$E$27:$E$28,MATCH(B5,Probabilitas!$A$27:$A$28,0))</x:f>
        <x:v>0.000004548037824451806</x:v>
      </x:c>
    </x:row>
    <x:row r="10">
      <x:c r="A10" t="str">
        <x:v>Probabilitas Minat</x:v>
      </x:c>
      <x:c r="B10" s="18" t="n">
        <x:f>IFERROR(B8/(B8+B9),0)</x:f>
        <x:v>0.9999238053766044</x:v>
      </x:c>
    </x:row>
    <x:row r="11">
      <x:c r="A11" t="str">
        <x:v>Probabilitas Tidak minat</x:v>
      </x:c>
      <x:c r="B11" s="18" t="n">
        <x:f>IFERROR(B9/(B8+B9),0)</x:f>
        <x:v>0.00007619462339563364</x:v>
      </x:c>
    </x:row>
    <x:row r="12">
      <x:c r="A12" t="str">
        <x:v>Keputusan</x:v>
      </x:c>
      <x:c r="B12" t="str">
        <x:f>IF(B10&gt;=B11,"Minat","Tidak minat")</x:f>
        <x:v>Minat</x:v>
      </x:c>
    </x:row>
  </x:sheetData>
  <x:mergeCells>
    <x:mergeCell ref="A1:E1"/>
    <x:mergeCell ref="D3:E3"/>
  </x:mergeCells>
  <x:conditionalFormatting sqref="B12:B12">
    <x:cfRule type="expression" dxfId="3" priority="1">
      <x:formula>B12="Minat"</x:formula>
    </x:cfRule>
    <x:cfRule type="expression" dxfId="4" priority="2">
      <x:formula>B12="Tidak minat"</x:formula>
    </x:cfRule>
  </x:conditionalFormatting>
  <x:dataValidations count="3">
    <x:dataValidation type="list" sqref="B3">
      <x:formula1>Probabilitas!$A$10:$A$11</x:formula1>
    </x:dataValidation>
    <x:dataValidation type="list" sqref="B4">
      <x:formula1>Probabilitas!$A$16:$A$22</x:formula1>
    </x:dataValidation>
    <x:dataValidation type="list" sqref="B5">
      <x:formula1>Probabilitas!$A$27:$A$28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6" t="str">
        <x:v>DASHBOARD HASIL KLASIFIKASI PEMINATAN PERGURUAN TINGGI</x:v>
      </x:c>
      <x:c r="B1" s="6"/>
      <x:c r="C1" s="6"/>
      <x:c r="D1" s="6"/>
      <x:c r="E1" s="6"/>
      <x:c r="F1" s="6"/>
    </x:row>
    <x:row r="3">
      <x:c r="A3" s="6" t="str">
        <x:v>Indikator</x:v>
      </x:c>
      <x:c r="B3" s="6" t="str">
        <x:v>Nilai</x:v>
      </x:c>
    </x:row>
    <x:row r="4">
      <x:c r="A4" t="str">
        <x:v>Total Siswa</x:v>
      </x:c>
      <x:c r="B4" t="n">
        <x:f>COUNTA(Data_Siswa!$A$2:$A$557)</x:f>
        <x:v>556</x:v>
      </x:c>
    </x:row>
    <x:row r="5">
      <x:c r="A5" t="str">
        <x:v>Prediksi Minat</x:v>
      </x:c>
      <x:c r="B5" t="n">
        <x:f>COUNTIF(Data_Siswa!$L$2:$L$557,"Minat")</x:f>
        <x:v>203</x:v>
      </x:c>
    </x:row>
    <x:row r="6">
      <x:c r="A6" t="str">
        <x:v>Prediksi Tidak minat</x:v>
      </x:c>
      <x:c r="B6" t="n">
        <x:f>COUNTIF(Data_Siswa!$L$2:$L$557,"Tidak minat")</x:f>
        <x:v>353</x:v>
      </x:c>
    </x:row>
    <x:row r="7">
      <x:c r="A7" t="str">
        <x:v>Akurasi terhadap label latih</x:v>
      </x:c>
      <x:c r="B7" s="20" t="n">
        <x:f>IFERROR((B12+C13)/SUM(B12:C13),0)</x:f>
        <x:v>0.38833883388338836</x:v>
      </x:c>
    </x:row>
    <x:row r="10">
      <x:c r="A10" s="6" t="str">
        <x:v>Matriks Keputusan</x:v>
      </x:c>
      <x:c r="B10" s="6" t="str">
        <x:v>Prediksi Minat</x:v>
      </x:c>
      <x:c r="C10" s="6" t="str">
        <x:v>Prediksi Tidak minat</x:v>
      </x:c>
    </x:row>
    <x:row r="11">
      <x:c r="A11" t="str">
        <x:v>Aktual Minat</x:v>
      </x:c>
      <x:c r="B11" t="n">
        <x:f>COUNTIFS(Data_Siswa!$G$2:$G$557,"Minat",Data_Siswa!$L$2:$L$557,"Minat")</x:f>
        <x:v>203</x:v>
      </x:c>
      <x:c r="C11" t="n">
        <x:f>COUNTIFS(Data_Siswa!$G$2:$G$557,"Minat",Data_Siswa!$L$2:$L$557,"Tidak minat")</x:f>
        <x:v>0</x:v>
      </x:c>
    </x:row>
    <x:row r="12">
      <x:c r="A12" t="str">
        <x:v>Aktual Tidak minat</x:v>
      </x:c>
      <x:c r="B12" t="n">
        <x:f>COUNTIFS(Data_Siswa!$G$2:$G$557,"Tidak minat",Data_Siswa!$L$2:$L$557,"Minat")</x:f>
        <x:v>0</x:v>
      </x:c>
      <x:c r="C12" t="n">
        <x:f>COUNTIFS(Data_Siswa!$G$2:$G$557,"Tidak minat",Data_Siswa!$L$2:$L$557,"Tidak minat")</x:f>
        <x:v>353</x:v>
      </x:c>
    </x:row>
    <x:row r="13">
      <x:c r="A13" t="str">
        <x:v>Total</x:v>
      </x:c>
      <x:c r="B13" t="n">
        <x:f>SUM(B11:B12)</x:f>
        <x:v>203</x:v>
      </x:c>
      <x:c r="C13" t="n">
        <x:f>SUM(C11:C12)</x:f>
        <x:v>353</x:v>
      </x:c>
    </x:row>
    <x:row r="16">
      <x:c r="A16" s="6" t="str">
        <x:v>Kelas</x:v>
      </x:c>
      <x:c r="B16" s="6" t="str">
        <x:v>Jumlah Prediksi</x:v>
      </x:c>
    </x:row>
    <x:row r="17">
      <x:c r="A17" t="str">
        <x:v>Minat</x:v>
      </x:c>
      <x:c r="B17" t="n">
        <x:f>COUNTIF(Data_Siswa!$L$2:$L$557,A17)</x:f>
        <x:v>203</x:v>
      </x:c>
    </x:row>
    <x:row r="18">
      <x:c r="A18" t="str">
        <x:v>Tidak minat</x:v>
      </x:c>
      <x:c r="B18" t="n">
        <x:f>COUNTIF(Data_Siswa!$L$2:$L$557,A18)</x:f>
        <x:v>353</x:v>
      </x:c>
    </x:row>
    <x:row r="21">
      <x:c r="A21" s="6" t="str">
        <x:v>Catatan penting</x:v>
      </x:c>
      <x:c r="B21" s="6"/>
      <x:c r="C21" s="6"/>
      <x:c r="D21" s="6"/>
      <x:c r="E21" s="6"/>
      <x:c r="F21" s="6"/>
    </x:row>
    <x:row r="22">
      <x:c r="A22" s="24" t="str">
        <x:v>Kolom label aktual/latih pada sheet Data_Siswa dibuat sebagai contoh awal karena file sumber belum memiliki data survei minat perguruan tinggi.</x:v>
      </x:c>
      <x:c r="B22" s="24"/>
      <x:c r="C22" s="24"/>
      <x:c r="D22" s="24"/>
      <x:c r="E22" s="24"/>
      <x:c r="F22" s="24"/>
    </x:row>
    <x:row r="23">
      <x:c r="A23" s="24" t="str">
        <x:v>Untuk hasil penelitian yang sahih, ganti label tersebut dengan data kuesioner/hasil wawancara siswa, lalu semua probabilitas dan keputusan akan otomatis berubah.</x:v>
      </x:c>
      <x:c r="B23" s="24"/>
      <x:c r="C23" s="24"/>
      <x:c r="D23" s="24"/>
      <x:c r="E23" s="24"/>
      <x:c r="F23" s="24"/>
    </x:row>
  </x:sheetData>
  <x:mergeCells>
    <x:mergeCell ref="A1:F1"/>
    <x:mergeCell ref="A21:F21"/>
    <x:mergeCell ref="A22:F22"/>
    <x:mergeCell ref="A23:F23"/>
  </x:mergeCells>
  <x:pageMargins left="0.7" right="0.7" top="0.75" bottom="0.75" header="0.3" footer="0.3"/>
  <x:drawing xmlns:r="http://schemas.openxmlformats.org/officeDocument/2006/relationships" r:id="Rca193dca13cb4e84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70" hidden="0" customWidth="1"/>
  </x:cols>
  <x:sheetData>
    <x:row r="1">
      <x:c r="A1" s="6" t="str">
        <x:v>RUMUS MANUAL NAIVE BAYES</x:v>
      </x:c>
      <x:c r="B1" s="6"/>
      <x:c r="C1" s="6"/>
    </x:row>
    <x:row r="2">
      <x:c r="A2" s="24" t="str">
        <x:v>Tujuan</x:v>
      </x:c>
      <x:c r="B2" s="24" t="str">
        <x:v>Menentukan kelas peminatan perguruan tinggi: Minat atau Tidak minat.</x:v>
      </x:c>
      <x:c r="C2" s="24"/>
    </x:row>
    <x:row r="3">
      <x:c r="A3" s="24" t="str">
        <x:v>Fitur</x:v>
      </x:c>
      <x:c r="B3" s="24" t="str">
        <x:v>Jurusan, Rombel, Jenis Kelamin.</x:v>
      </x:c>
      <x:c r="C3" s="24"/>
    </x:row>
    <x:row r="4">
      <x:c r="A4" s="24" t="str">
        <x:v>Kelas</x:v>
      </x:c>
      <x:c r="B4" s="24" t="str">
        <x:v>Minat dan Tidak minat.</x:v>
      </x:c>
      <x:c r="C4" s="24"/>
    </x:row>
    <x:row r="5">
      <x:c r="A5" s="24"/>
      <x:c r="B5" s="24"/>
      <x:c r="C5" s="24"/>
    </x:row>
    <x:row r="6">
      <x:c r="A6" s="24" t="str">
        <x:v>1. Prior kelas</x:v>
      </x:c>
      <x:c r="B6" s="24" t="str">
        <x:v>P(C) = jumlah data pada kelas C / total data latih</x:v>
      </x:c>
      <x:c r="C6" s="24" t="str">
        <x:v>Contoh Excel: =COUNTIF(Data_Siswa!$G:$G,"Minat")/COUNTA(Data_Siswa!$G:$G)</x:v>
      </x:c>
    </x:row>
    <x:row r="7">
      <x:c r="A7" s="24" t="str">
        <x:v>2. Likelihood fitur</x:v>
      </x:c>
      <x:c r="B7" s="24" t="str">
        <x:v>P(X|C) = (jumlah fitur X pada kelas C + 1) / (jumlah kelas C + jumlah kategori fitur)</x:v>
      </x:c>
      <x:c r="C7" s="24" t="str">
        <x:v>Contoh Excel: =(COUNTIFS(Data_Siswa!$D:$D,A10,Data_Siswa!$G:$G,"Minat")+1)/(Jumlah_Minat+Jumlah_Kategori_Jurusan)</x:v>
      </x:c>
    </x:row>
    <x:row r="8">
      <x:c r="A8" s="24" t="str">
        <x:v>3. Skor kelas</x:v>
      </x:c>
      <x:c r="B8" s="24" t="str">
        <x:v>Skor(C)=P(C)*P(Jurusan|C)*P(Rombel|C)*P(Jenis Kelamin|C)</x:v>
      </x:c>
      <x:c r="C8" s="24" t="str">
        <x:v>Lihat kolom H dan I pada sheet Data_Siswa.</x:v>
      </x:c>
    </x:row>
    <x:row r="9">
      <x:c r="A9" s="24" t="str">
        <x:v>4. Normalisasi</x:v>
      </x:c>
      <x:c r="B9" s="24" t="str">
        <x:v>Prob(C)=Skor(C)/(Skor Minat + Skor Tidak minat)</x:v>
      </x:c>
      <x:c r="C9" s="24" t="str">
        <x:v>Lihat kolom J dan K pada sheet Data_Siswa.</x:v>
      </x:c>
    </x:row>
    <x:row r="10">
      <x:c r="A10" s="24" t="str">
        <x:v>5. Keputusan</x:v>
      </x:c>
      <x:c r="B10" s="24" t="str">
        <x:v>Pilih kelas dengan probabilitas terbesar.</x:v>
      </x:c>
      <x:c r="C10" s="24" t="str">
        <x:v>Contoh Excel: =IF(J2&gt;=K2,"Minat","Tidak minat")</x:v>
      </x:c>
    </x:row>
    <x:row r="11">
      <x:c r="A11" s="24"/>
      <x:c r="B11" s="24"/>
      <x:c r="C11" s="24"/>
    </x:row>
    <x:row r="12">
      <x:c r="A12" s="24" t="str">
        <x:v>Contoh interpretasi</x:v>
      </x:c>
      <x:c r="B12" s="24" t="str">
        <x:v>Jika Prob. Minat lebih tinggi daripada Prob. Tidak minat, maka keputusan siswa adalah Minat melanjutkan perguruan tinggi.</x:v>
      </x:c>
      <x:c r="C12" s="24"/>
    </x:row>
    <x:row r="13">
      <x:c r="A13" s="24" t="str">
        <x:v>Catatan</x:v>
      </x:c>
      <x:c r="B13" s="24" t="str">
        <x:v>Label awal dalam file ini adalah asumsi untuk latihan perhitungan. Ganti dengan label survei sebenarnya jika tersedia.</x:v>
      </x:c>
      <x:c r="C13" s="24"/>
    </x:row>
  </x:sheetData>
  <x:pageMargins left="0.7" right="0.7" top="0.75" bottom="0.75" header="0.3" footer="0.3"/>
</x:worksheet>
</file>